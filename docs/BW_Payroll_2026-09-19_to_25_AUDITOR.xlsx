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Wage Detail Linked" sheetId="1" r:id="rId1"/>
    <sheet name="Auditor Trail Linked" sheetId="2" r:id="rId2"/>
    <sheet name="Auditor Summary" sheetId="3" r:id="rId3"/>
    <sheet name="Flagged - Reviewed" sheetId="4" r:id="rId4"/>
    <sheet name="Loans &amp; Deductions" sheetId="5" r:id="rId5"/>
    <sheet name="Missed Shifts" sheetId="6" r:id="rId6"/>
  </sheets>
  <calcPr calcId="191029" fullCalcOnLoad="1"/>
</workbook>
</file>

<file path=xl/styles.xml><?xml version="1.0" encoding="utf-8"?>
<styleSheet xmlns="http://schemas.openxmlformats.org/spreadsheetml/2006/main">
  <numFmts count="1">
    <numFmt numFmtId="164" formatCode="&quot;R&quot;#,##0.00"/>
  </numFmts>
  <fonts count="4">
    <font>
      <sz val="10"/>
      <name val="Calibri"/>
    </font>
    <font>
      <b/>
      <sz val="10"/>
      <name val="Calibri"/>
    </font>
    <font>
      <b/>
      <sz val="13"/>
      <name val="Calibri"/>
    </font>
    <font>
      <i/>
      <sz val="9"/>
      <color rgb="FF555555"/>
      <name val="Calibri"/>
    </font>
  </fonts>
  <fills count="12">
    <fill>
      <patternFill patternType="none"/>
    </fill>
    <fill>
      <patternFill patternType="gray125"/>
    </fill>
    <fill>
      <patternFill patternType="solid">
        <fgColor rgb="FFD9D9D9"/>
      </patternFill>
    </fill>
    <fill>
      <patternFill patternType="solid">
        <fgColor rgb="FFFFF2A8"/>
      </patternFill>
    </fill>
    <fill>
      <patternFill patternType="solid">
        <fgColor rgb="FFEAF3FF"/>
      </patternFill>
    </fill>
    <fill>
      <patternFill patternType="solid">
        <fgColor rgb="FFFDE2E2"/>
      </patternFill>
    </fill>
    <fill>
      <patternFill patternType="solid">
        <fgColor rgb="FFEAF3FF"/>
      </patternFill>
    </fill>
    <fill>
      <patternFill patternType="solid">
        <fgColor rgb="FFEAF8EC"/>
      </patternFill>
    </fill>
    <fill>
      <patternFill patternType="solid">
        <fgColor rgb="FFFFF6E5"/>
      </patternFill>
    </fill>
    <fill>
      <patternFill patternType="solid">
        <fgColor rgb="FFF6EAFB"/>
      </patternFill>
    </fill>
    <fill>
      <patternFill patternType="solid">
        <fgColor rgb="FFFFEEF0"/>
      </patternFill>
    </fill>
    <fill>
      <patternFill patternType="solid">
        <fgColor rgb="FFEDF7F9"/>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35">
    <xf numFmtId="0" fontId="0" fillId="0" borderId="0" xfId="0"/>
    <xf numFmtId="0" fontId="1" fillId="0" borderId="0" xfId="0" applyFont="1"/>
    <xf numFmtId="0" fontId="1" fillId="2" borderId="1" xfId="0" applyFont="1" applyFill="1" applyBorder="1" applyAlignment="1">
      <alignment horizontal="center" vertical="center" wrapText="1"/>
    </xf>
    <xf numFmtId="0" fontId="2" fillId="0" borderId="0" xfId="0" applyFont="1"/>
    <xf numFmtId="164" fontId="0" fillId="0" borderId="0" xfId="0" applyNumberFormat="1"/>
    <xf numFmtId="164" fontId="1" fillId="0" borderId="0" xfId="0" applyNumberFormat="1" applyFont="1"/>
    <xf numFmtId="0" fontId="0" fillId="3" borderId="1" xfId="0" applyFill="1" applyBorder="1"/>
    <xf numFmtId="164" fontId="0" fillId="3" borderId="1" xfId="0" applyNumberFormat="1" applyFill="1" applyBorder="1"/>
    <xf numFmtId="0" fontId="0" fillId="0" borderId="0" xfId="0" applyAlignment="1">
      <alignment wrapText="1" vertical="top"/>
    </xf>
    <xf numFmtId="2" fontId="0" fillId="0" borderId="0" xfId="0" applyNumberFormat="1"/>
    <xf numFmtId="2" fontId="1" fillId="0" borderId="0" xfId="0" applyNumberFormat="1" applyFont="1"/>
    <xf numFmtId="0" fontId="3" fillId="0" borderId="0" xfId="0" applyFont="1" applyAlignment="1">
      <alignment wrapText="1" vertical="top"/>
    </xf>
    <xf numFmtId="2" fontId="1" fillId="4" borderId="0" xfId="0" applyNumberFormat="1" applyFont="1" applyFill="1"/>
    <xf numFmtId="164" fontId="1" fillId="4" borderId="0" xfId="0" applyNumberFormat="1" applyFont="1" applyFill="1"/>
    <xf numFmtId="0" fontId="1" fillId="5" borderId="0" xfId="0" applyFont="1" applyFill="1" applyAlignment="1">
      <alignment wrapText="1" vertical="top"/>
    </xf>
    <xf numFmtId="0" fontId="1" fillId="5" borderId="0" xfId="0" applyFont="1" applyFill="1"/>
    <xf numFmtId="2" fontId="1" fillId="3" borderId="1" xfId="0" applyNumberFormat="1" applyFont="1" applyFill="1" applyBorder="1"/>
    <xf numFmtId="0" fontId="0" fillId="6" borderId="0" xfId="0" applyFill="1"/>
    <xf numFmtId="2" fontId="0" fillId="6" borderId="0" xfId="0" applyNumberFormat="1" applyFill="1"/>
    <xf numFmtId="164" fontId="0" fillId="6" borderId="0" xfId="0" applyNumberFormat="1" applyFill="1"/>
    <xf numFmtId="0" fontId="0" fillId="7" borderId="0" xfId="0" applyFill="1"/>
    <xf numFmtId="2" fontId="0" fillId="7" borderId="0" xfId="0" applyNumberFormat="1" applyFill="1"/>
    <xf numFmtId="164" fontId="0" fillId="7" borderId="0" xfId="0" applyNumberFormat="1" applyFill="1"/>
    <xf numFmtId="0" fontId="0" fillId="8" borderId="0" xfId="0" applyFill="1"/>
    <xf numFmtId="2" fontId="0" fillId="8" borderId="0" xfId="0" applyNumberFormat="1" applyFill="1"/>
    <xf numFmtId="164" fontId="0" fillId="8" borderId="0" xfId="0" applyNumberFormat="1" applyFill="1"/>
    <xf numFmtId="0" fontId="0" fillId="9" borderId="0" xfId="0" applyFill="1"/>
    <xf numFmtId="2" fontId="0" fillId="9" borderId="0" xfId="0" applyNumberFormat="1" applyFill="1"/>
    <xf numFmtId="164" fontId="0" fillId="9" borderId="0" xfId="0" applyNumberFormat="1" applyFill="1"/>
    <xf numFmtId="0" fontId="0" fillId="10" borderId="0" xfId="0" applyFill="1"/>
    <xf numFmtId="2" fontId="0" fillId="10" borderId="0" xfId="0" applyNumberFormat="1" applyFill="1"/>
    <xf numFmtId="164" fontId="0" fillId="10" borderId="0" xfId="0" applyNumberFormat="1" applyFill="1"/>
    <xf numFmtId="0" fontId="0" fillId="11" borderId="0" xfId="0" applyFill="1"/>
    <xf numFmtId="2" fontId="0" fillId="11" borderId="0" xfId="0" applyNumberFormat="1" applyFill="1"/>
    <xf numFmtId="164" fontId="0" fillId="11" borderId="0" xfId="0" applyNumberFormat="1" applyFill="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Views>
    <sheetView workbookViewId="0">
      <pane ySplit="4" topLeftCell="A5" activePane="bottomLeft" state="frozen"/>
    </sheetView>
  </sheetViews>
  <cols>
    <col min="1" max="1" width="8" customWidth="1"/>
    <col min="2" max="2" width="24" customWidth="1"/>
    <col min="3" max="3" width="11" customWidth="1"/>
    <col min="4" max="4" width="10" customWidth="1"/>
    <col min="5" max="5" width="8" customWidth="1"/>
    <col min="6" max="6" width="24" customWidth="1"/>
    <col min="7" max="7" width="14" customWidth="1"/>
    <col min="8" max="8" width="26" customWidth="1"/>
    <col min="9" max="9" width="14" customWidth="1"/>
    <col min="10" max="10" width="7" customWidth="1"/>
    <col min="11" max="11" width="7" customWidth="1"/>
    <col min="12" max="12" width="9" customWidth="1"/>
    <col min="13" max="13" width="10" customWidth="1"/>
    <col min="14" max="14" width="10" customWidth="1"/>
    <col min="15" max="15" width="10" customWidth="1"/>
    <col min="16" max="16" width="12" customWidth="1"/>
    <col min="17" max="17" width="12" customWidth="1"/>
    <col min="18" max="18" width="12" customWidth="1"/>
    <col min="19" max="19" width="8" customWidth="1"/>
    <col min="20" max="20" width="60" customWidth="1"/>
    <col min="21" max="21" width="20" customWidth="1"/>
    <col min="22" max="22" width="9" customWidth="1"/>
    <col min="23" max="23" width="80" customWidth="1"/>
    <col min="24" max="24" width="80" customWidth="1"/>
  </cols>
  <sheetData>
    <row r="1" ht="22" customHeight="1">
      <c r="A1" s="3" t="inlineStr">
        <is>
          <t xml:space="preserve">B&amp;W PRODUCTIONS — WAGE DETAIL LINKED (master)</t>
        </is>
      </c>
    </row>
    <row r="2" ht="30" customHeight="1">
      <c r="A2" s="11" t="inlineStr">
        <is>
          <t xml:space="preserve">Payroll week 2026-09-19 to 2026-09-25. One row per paid shift, including missed shifts from the previous payroll (real date shown). Edit only the yellow cells; Auditor Trail, Auditor Summary and Missed Shifts recalculate from this tab.</t>
        </is>
      </c>
    </row>
    <row r="4" ht="30" customHeight="1">
      <c r="A4" s="2" t="inlineStr">
        <is>
          <t xml:space="preserve">Shift ID</t>
        </is>
      </c>
      <c r="B4" s="2" t="inlineStr">
        <is>
          <t xml:space="preserve">Employee</t>
        </is>
      </c>
      <c r="C4" s="2" t="inlineStr">
        <is>
          <t xml:space="preserve">Date</t>
        </is>
      </c>
      <c r="D4" s="2" t="inlineStr">
        <is>
          <t xml:space="preserve">Day</t>
        </is>
      </c>
      <c r="E4" s="2" t="inlineStr">
        <is>
          <t xml:space="preserve">Missed shift?</t>
        </is>
      </c>
      <c r="F4" s="2" t="inlineStr">
        <is>
          <t xml:space="preserve">Venue / Outlet</t>
        </is>
      </c>
      <c r="G4" s="2" t="inlineStr">
        <is>
          <t xml:space="preserve">Area</t>
        </is>
      </c>
      <c r="H4" s="2" t="inlineStr">
        <is>
          <t xml:space="preserve">Description</t>
        </is>
      </c>
      <c r="I4" s="2" t="inlineStr">
        <is>
          <t xml:space="preserve">Work type</t>
        </is>
      </c>
      <c r="J4" s="2" t="inlineStr">
        <is>
          <t xml:space="preserve">Start</t>
        </is>
      </c>
      <c r="K4" s="2" t="inlineStr">
        <is>
          <t xml:space="preserve">End</t>
        </is>
      </c>
      <c r="L4" s="2" t="inlineStr">
        <is>
          <t xml:space="preserve">Claimed hours</t>
        </is>
      </c>
      <c r="M4" s="2" t="inlineStr">
        <is>
          <t xml:space="preserve">Approved hours (system)</t>
        </is>
      </c>
      <c r="N4" s="2" t="inlineStr">
        <is>
          <t xml:space="preserve">Override hours (edit)</t>
        </is>
      </c>
      <c r="O4" s="2" t="inlineStr">
        <is>
          <t xml:space="preserve">Effective hours</t>
        </is>
      </c>
      <c r="P4" s="2" t="inlineStr">
        <is>
          <t xml:space="preserve">Amount (system)</t>
        </is>
      </c>
      <c r="Q4" s="2" t="inlineStr">
        <is>
          <t xml:space="preserve">Override amount (edit)</t>
        </is>
      </c>
      <c r="R4" s="2" t="inlineStr">
        <is>
          <t xml:space="preserve">Effective amount</t>
        </is>
      </c>
      <c r="S4" s="2" t="inlineStr">
        <is>
          <t xml:space="preserve">Rate used</t>
        </is>
      </c>
      <c r="T4" s="2" t="inlineStr">
        <is>
          <t xml:space="preserve">Breakdown (how the amount was worked out)</t>
        </is>
      </c>
      <c r="U4" s="2" t="inlineStr">
        <is>
          <t xml:space="preserve">Override reason (edit)</t>
        </is>
      </c>
      <c r="V4" s="2" t="inlineStr">
        <is>
          <t xml:space="preserve">Review #</t>
        </is>
      </c>
      <c r="W4" s="2" t="inlineStr">
        <is>
          <t xml:space="preserve">System note</t>
        </is>
      </c>
      <c r="X4" s="2" t="inlineStr">
        <is>
          <t xml:space="preserve">Review decision</t>
        </is>
      </c>
    </row>
    <row r="5">
      <c r="A5" s="0">
        <v>9812</v>
      </c>
      <c r="B5" s="0" t="inlineStr">
        <is>
          <t xml:space="preserve">Bhekizitha Maphosa</t>
        </is>
      </c>
      <c r="C5" s="0" t="inlineStr">
        <is>
          <t xml:space="preserve">2026-09-17</t>
        </is>
      </c>
      <c r="D5" s="0" t="inlineStr">
        <is>
          <t xml:space="preserve">Thursday</t>
        </is>
      </c>
      <c r="E5" s="0" t="inlineStr">
        <is>
          <t xml:space="preserve">YES</t>
        </is>
      </c>
      <c r="F5" s="0" t="inlineStr">
        <is>
          <t xml:space="preserve">Botanical garden Pretoria</t>
        </is>
      </c>
      <c r="G5" s="0" t="inlineStr">
        <is>
          <t xml:space="preserve">Pretoria</t>
        </is>
      </c>
      <c r="H5" s="0" t="inlineStr">
        <is>
          <t xml:space="preserve">Break down</t>
        </is>
      </c>
      <c r="I5" s="0" t="inlineStr">
        <is>
          <t xml:space="preserve">Normal</t>
        </is>
      </c>
      <c r="J5" s="0" t="inlineStr">
        <is>
          <t xml:space="preserve">06:00</t>
        </is>
      </c>
      <c r="K5" s="0" t="inlineStr">
        <is>
          <t xml:space="preserve">07:00</t>
        </is>
      </c>
      <c r="L5" s="9">
        <v>1</v>
      </c>
      <c r="M5" s="9">
        <v>1</v>
      </c>
      <c r="N5" s="6"/>
      <c r="O5" s="10">
        <f>IF(N5&lt;&gt;"",N5,M5)</f>
      </c>
      <c r="P5" s="4">
        <v>95</v>
      </c>
      <c r="Q5" s="7"/>
      <c r="R5" s="5">
        <f>IF(Q5&lt;&gt;"",Q5,IF(N5&lt;&gt;"",IF(M5&gt;0,ROUND(P5*N5/M5,2),0),P5))</f>
      </c>
      <c r="S5" s="9">
        <v>95</v>
      </c>
      <c r="T5" s="0" t="inlineStr">
        <is>
          <t xml:space="preserve">Venue/event: 1 h × R95</t>
        </is>
      </c>
      <c r="U5" s="6"/>
      <c r="W5" s="0" t="inlineStr">
        <is>
          <t xml:space="preserve">CLEAR: worked 07:00–16:00 that day (paid in payroll n/a); these hours are outside those times.</t>
        </is>
      </c>
      <c r="X5" s="0" t="inlineStr">
        <is>
          <t xml:space="preserve">No review needed</t>
        </is>
      </c>
    </row>
    <row r="6">
      <c r="A6" s="0">
        <v>9811</v>
      </c>
      <c r="B6" s="0" t="inlineStr">
        <is>
          <t xml:space="preserve">Bhekizitha Maphosa</t>
        </is>
      </c>
      <c r="C6" s="0" t="inlineStr">
        <is>
          <t xml:space="preserve">2026-09-17</t>
        </is>
      </c>
      <c r="D6" s="0" t="inlineStr">
        <is>
          <t xml:space="preserve">Thursday</t>
        </is>
      </c>
      <c r="E6" s="0" t="inlineStr">
        <is>
          <t xml:space="preserve">YES</t>
        </is>
      </c>
      <c r="F6" s="0" t="inlineStr">
        <is>
          <t xml:space="preserve">FNB Stadium</t>
        </is>
      </c>
      <c r="G6" s="0" t="inlineStr">
        <is>
          <t xml:space="preserve">Johannesburg</t>
        </is>
      </c>
      <c r="H6" s="0" t="inlineStr">
        <is>
          <t xml:space="preserve">Setup fnb stadium Scorpion kings concert</t>
        </is>
      </c>
      <c r="I6" s="0" t="inlineStr">
        <is>
          <t xml:space="preserve">Normal</t>
        </is>
      </c>
      <c r="J6" s="0" t="inlineStr">
        <is>
          <t xml:space="preserve">16:00</t>
        </is>
      </c>
      <c r="K6" s="0" t="inlineStr">
        <is>
          <t xml:space="preserve">18:00</t>
        </is>
      </c>
      <c r="L6" s="9">
        <v>2</v>
      </c>
      <c r="M6" s="9">
        <v>2</v>
      </c>
      <c r="N6" s="6"/>
      <c r="O6" s="10">
        <f>IF(N6&lt;&gt;"",N6,M6)</f>
      </c>
      <c r="P6" s="4">
        <v>190</v>
      </c>
      <c r="Q6" s="7"/>
      <c r="R6" s="5">
        <f>IF(Q6&lt;&gt;"",Q6,IF(N6&lt;&gt;"",IF(M6&gt;0,ROUND(P6*N6/M6,2),0),P6))</f>
      </c>
      <c r="S6" s="9">
        <v>95</v>
      </c>
      <c r="T6" s="0" t="inlineStr">
        <is>
          <t xml:space="preserve">Venue/event: 2 h × R95</t>
        </is>
      </c>
      <c r="U6" s="6"/>
      <c r="W6" s="0" t="inlineStr">
        <is>
          <t xml:space="preserve">CLEAR: worked 07:00–16:00 that day (paid in payroll n/a); these hours are outside those times.</t>
        </is>
      </c>
      <c r="X6" s="0" t="inlineStr">
        <is>
          <t xml:space="preserve">No review needed</t>
        </is>
      </c>
    </row>
    <row r="7">
      <c r="A7" s="0">
        <v>9809</v>
      </c>
      <c r="B7" s="0" t="inlineStr">
        <is>
          <t xml:space="preserve">Bhekizitha Maphosa</t>
        </is>
      </c>
      <c r="C7" s="0" t="inlineStr">
        <is>
          <t xml:space="preserve">2026-09-21</t>
        </is>
      </c>
      <c r="D7" s="0" t="inlineStr">
        <is>
          <t xml:space="preserve">Monday</t>
        </is>
      </c>
      <c r="F7" s="0" t="inlineStr">
        <is>
          <t xml:space="preserve">FNB Stadium</t>
        </is>
      </c>
      <c r="G7" s="0" t="inlineStr">
        <is>
          <t xml:space="preserve">Fnb stadium</t>
        </is>
      </c>
      <c r="H7" s="0" t="inlineStr">
        <is>
          <t xml:space="preserve">Break down</t>
        </is>
      </c>
      <c r="I7" s="0" t="inlineStr">
        <is>
          <t xml:space="preserve">Normal</t>
        </is>
      </c>
      <c r="J7" s="0" t="inlineStr">
        <is>
          <t xml:space="preserve">07:00</t>
        </is>
      </c>
      <c r="K7" s="0" t="inlineStr">
        <is>
          <t xml:space="preserve">16:00</t>
        </is>
      </c>
      <c r="L7" s="9">
        <v>9</v>
      </c>
      <c r="M7" s="9">
        <v>9</v>
      </c>
      <c r="N7" s="6"/>
      <c r="O7" s="10">
        <f>IF(N7&lt;&gt;"",N7,M7)</f>
      </c>
      <c r="P7" s="4">
        <v>855</v>
      </c>
      <c r="Q7" s="7"/>
      <c r="R7" s="5">
        <f>IF(Q7&lt;&gt;"",Q7,IF(N7&lt;&gt;"",IF(M7&gt;0,ROUND(P7*N7/M7,2),0),P7))</f>
      </c>
      <c r="S7" s="9">
        <v>95</v>
      </c>
      <c r="T7" s="0" t="inlineStr">
        <is>
          <t xml:space="preserve">Venue/event: 9 h × R95</t>
        </is>
      </c>
      <c r="U7" s="6"/>
    </row>
    <row r="8">
      <c r="A8" s="0">
        <v>9808</v>
      </c>
      <c r="B8" s="0" t="inlineStr">
        <is>
          <t xml:space="preserve">Bhekizitha Maphosa</t>
        </is>
      </c>
      <c r="C8" s="0" t="inlineStr">
        <is>
          <t xml:space="preserve">2026-09-22</t>
        </is>
      </c>
      <c r="D8" s="0" t="inlineStr">
        <is>
          <t xml:space="preserve">Tuesday</t>
        </is>
      </c>
      <c r="F8" s="0" t="inlineStr">
        <is>
          <t xml:space="preserve">Warehouse loading</t>
        </is>
      </c>
      <c r="G8" s="0" t="inlineStr">
        <is>
          <t xml:space="preserve">Henley on Klip, Meyerton</t>
        </is>
      </c>
      <c r="H8" s="0" t="inlineStr">
        <is>
          <t xml:space="preserve">Loading and cleaning</t>
        </is>
      </c>
      <c r="I8" s="0" t="inlineStr">
        <is>
          <t xml:space="preserve">Normal</t>
        </is>
      </c>
      <c r="J8" s="0" t="inlineStr">
        <is>
          <t xml:space="preserve">07:00</t>
        </is>
      </c>
      <c r="K8" s="0" t="inlineStr">
        <is>
          <t xml:space="preserve">16:00</t>
        </is>
      </c>
      <c r="L8" s="9">
        <v>9</v>
      </c>
      <c r="M8" s="9">
        <v>9</v>
      </c>
      <c r="N8" s="6"/>
      <c r="O8" s="10">
        <f>IF(N8&lt;&gt;"",N8,M8)</f>
      </c>
      <c r="P8" s="4">
        <v>690.63</v>
      </c>
      <c r="Q8" s="7"/>
      <c r="R8" s="5">
        <f>IF(Q8&lt;&gt;"",Q8,IF(N8&lt;&gt;"",IF(M8&gt;0,ROUND(P8*N8/M8,2),0),P8))</f>
      </c>
      <c r="S8" s="9">
        <v>81.25</v>
      </c>
      <c r="T8" s="0" t="inlineStr">
        <is>
          <t xml:space="preserve">Warehouse: 9 h − 0.5 h staff meeting 07:00–07:30 (unpaid, R40,63) = 8.5 h × R81,25</t>
        </is>
      </c>
      <c r="U8" s="6"/>
      <c r="V8" s="0" t="inlineStr">
        <is>
          <t xml:space="preserve">#10027</t>
        </is>
      </c>
    </row>
    <row r="9">
      <c r="A9" s="0">
        <v>9807</v>
      </c>
      <c r="B9" s="0" t="inlineStr">
        <is>
          <t xml:space="preserve">Bhekizitha Maphosa</t>
        </is>
      </c>
      <c r="C9" s="0" t="inlineStr">
        <is>
          <t xml:space="preserve">2026-09-23</t>
        </is>
      </c>
      <c r="D9" s="0" t="inlineStr">
        <is>
          <t xml:space="preserve">Wednesday</t>
        </is>
      </c>
      <c r="F9" s="0" t="inlineStr">
        <is>
          <t xml:space="preserve">Warehouse</t>
        </is>
      </c>
      <c r="G9" s="0" t="inlineStr">
        <is>
          <t xml:space="preserve">Henley on Klip, Meyerton</t>
        </is>
      </c>
      <c r="H9" s="0" t="inlineStr">
        <is>
          <t xml:space="preserve">Loading and cleaning</t>
        </is>
      </c>
      <c r="I9" s="0" t="inlineStr">
        <is>
          <t xml:space="preserve">Normal</t>
        </is>
      </c>
      <c r="J9" s="0" t="inlineStr">
        <is>
          <t xml:space="preserve">07:00</t>
        </is>
      </c>
      <c r="K9" s="0" t="inlineStr">
        <is>
          <t xml:space="preserve">16:00</t>
        </is>
      </c>
      <c r="L9" s="9">
        <v>9</v>
      </c>
      <c r="M9" s="9">
        <v>9</v>
      </c>
      <c r="N9" s="6"/>
      <c r="O9" s="10">
        <f>IF(N9&lt;&gt;"",N9,M9)</f>
      </c>
      <c r="P9" s="4">
        <v>690.63</v>
      </c>
      <c r="Q9" s="7"/>
      <c r="R9" s="5">
        <f>IF(Q9&lt;&gt;"",Q9,IF(N9&lt;&gt;"",IF(M9&gt;0,ROUND(P9*N9/M9,2),0),P9))</f>
      </c>
      <c r="S9" s="9">
        <v>81.25</v>
      </c>
      <c r="T9" s="0" t="inlineStr">
        <is>
          <t xml:space="preserve">Warehouse: 9 h − 0.5 h staff meeting 07:00–07:30 (unpaid, R40,63) = 8.5 h × R81,25</t>
        </is>
      </c>
      <c r="U9" s="6"/>
      <c r="V9" s="0" t="inlineStr">
        <is>
          <t xml:space="preserve">#10025</t>
        </is>
      </c>
    </row>
    <row r="10">
      <c r="A10" s="0">
        <v>9806</v>
      </c>
      <c r="B10" s="0" t="inlineStr">
        <is>
          <t xml:space="preserve">Bhekizitha Maphosa</t>
        </is>
      </c>
      <c r="C10" s="0" t="inlineStr">
        <is>
          <t xml:space="preserve">2026-09-24</t>
        </is>
      </c>
      <c r="D10" s="0" t="inlineStr">
        <is>
          <t xml:space="preserve">Thursday</t>
        </is>
      </c>
      <c r="F10" s="0" t="inlineStr">
        <is>
          <t xml:space="preserve">Warehouse</t>
        </is>
      </c>
      <c r="G10" s="0" t="inlineStr">
        <is>
          <t xml:space="preserve">Henley on Klip, Meyerton</t>
        </is>
      </c>
      <c r="H10" s="0" t="inlineStr">
        <is>
          <t xml:space="preserve">Loading and cleaning</t>
        </is>
      </c>
      <c r="I10" s="0" t="inlineStr">
        <is>
          <t xml:space="preserve">Warehouse Team</t>
        </is>
      </c>
      <c r="J10" s="0" t="inlineStr">
        <is>
          <t xml:space="preserve">07:00</t>
        </is>
      </c>
      <c r="K10" s="0" t="inlineStr">
        <is>
          <t xml:space="preserve">15:00</t>
        </is>
      </c>
      <c r="L10" s="9">
        <v>8</v>
      </c>
      <c r="M10" s="9">
        <v>8</v>
      </c>
      <c r="N10" s="6"/>
      <c r="O10" s="10">
        <f>IF(N10&lt;&gt;"",N10,M10)</f>
      </c>
      <c r="P10" s="4">
        <v>1218.75</v>
      </c>
      <c r="Q10" s="7"/>
      <c r="R10" s="5">
        <f>IF(Q10&lt;&gt;"",Q10,IF(N10&lt;&gt;"",IF(M10&gt;0,ROUND(P10*N10/M10,2),0),P10))</f>
      </c>
      <c r="S10" s="9">
        <v>162.5</v>
      </c>
      <c r="T10" s="0" t="inlineStr">
        <is>
          <t xml:space="preserve">OWNER CORRECTION: Owner 23 Sep: Heritage Day — warehouse, hours set to 07:00–15:00 (no set-ups). 7.5 h × R162,50 = R1218.75</t>
        </is>
      </c>
      <c r="U10" s="6"/>
      <c r="V10" s="0" t="inlineStr">
        <is>
          <t xml:space="preserve">#10023</t>
        </is>
      </c>
      <c r="W10" s="0" t="inlineStr">
        <is>
          <t xml:space="preserve">#10137 Public holiday (Heritage Day) — owner to approve or decline: PUBLIC HOLIDAY — Heritage Day (24 Sep 2026): Bhekizitha Maphosa worked 07:00–16:00. Held for owner approval.</t>
        </is>
      </c>
      <c r="X10" s="0" t="inlineStr">
        <is>
          <t xml:space="preserve">#10137 DECIDED 7.50 h by Bernie Burness 2026-09-23 10:28: Public holiday (Heritage Day) approved by Bernie Burness 23 Sep — hours set to 07:00–15:00 (no set-ups): Warehouse public holiday (Heritage Day), owner set hours 07:00–15:00: 8.0 h − 0.5 h staff meeting 07:00–07:30 (unpaid) = 7.5 h × R162,50 (R81,25 × 2) = R1218.75</t>
        </is>
      </c>
    </row>
    <row r="11">
      <c r="A11" s="0">
        <v>9805</v>
      </c>
      <c r="B11" s="0" t="inlineStr">
        <is>
          <t xml:space="preserve">Bhekizitha Maphosa</t>
        </is>
      </c>
      <c r="C11" s="0" t="inlineStr">
        <is>
          <t xml:space="preserve">2026-09-25</t>
        </is>
      </c>
      <c r="D11" s="0" t="inlineStr">
        <is>
          <t xml:space="preserve">Friday</t>
        </is>
      </c>
      <c r="F11" s="0" t="inlineStr">
        <is>
          <t xml:space="preserve">The Capital Sandton and Bonitical Emmarentia</t>
        </is>
      </c>
      <c r="G11" s="0" t="inlineStr">
        <is>
          <t xml:space="preserve">Johannesburg</t>
        </is>
      </c>
      <c r="H11" s="0" t="inlineStr">
        <is>
          <t xml:space="preserve">Setup</t>
        </is>
      </c>
      <c r="I11" s="0" t="inlineStr">
        <is>
          <t xml:space="preserve">Normal</t>
        </is>
      </c>
      <c r="J11" s="0" t="inlineStr">
        <is>
          <t xml:space="preserve">07:00</t>
        </is>
      </c>
      <c r="K11" s="0" t="inlineStr">
        <is>
          <t xml:space="preserve">16:00</t>
        </is>
      </c>
      <c r="L11" s="9">
        <v>9</v>
      </c>
      <c r="M11" s="9">
        <v>9</v>
      </c>
      <c r="N11" s="6"/>
      <c r="O11" s="10">
        <f>IF(N11&lt;&gt;"",N11,M11)</f>
      </c>
      <c r="P11" s="4">
        <v>855</v>
      </c>
      <c r="Q11" s="7"/>
      <c r="R11" s="5">
        <f>IF(Q11&lt;&gt;"",Q11,IF(N11&lt;&gt;"",IF(M11&gt;0,ROUND(P11*N11/M11,2),0),P11))</f>
      </c>
      <c r="S11" s="9">
        <v>95</v>
      </c>
      <c r="T11" s="0" t="inlineStr">
        <is>
          <t xml:space="preserve">Venue/event: 9 h × R95</t>
        </is>
      </c>
      <c r="U11" s="6"/>
    </row>
    <row r="12">
      <c r="A12" s="0">
        <v>9788</v>
      </c>
      <c r="B12" s="0" t="inlineStr">
        <is>
          <t xml:space="preserve">Daniel Motaung</t>
        </is>
      </c>
      <c r="C12" s="0" t="inlineStr">
        <is>
          <t xml:space="preserve">2026-09-21</t>
        </is>
      </c>
      <c r="D12" s="0" t="inlineStr">
        <is>
          <t xml:space="preserve">Monday</t>
        </is>
      </c>
      <c r="F12" s="0" t="inlineStr">
        <is>
          <t xml:space="preserve">FNB Stadium</t>
        </is>
      </c>
      <c r="G12" s="0" t="inlineStr">
        <is>
          <t xml:space="preserve">Johannesburg</t>
        </is>
      </c>
      <c r="H12" s="0" t="inlineStr">
        <is>
          <t xml:space="preserve">Breakdown</t>
        </is>
      </c>
      <c r="I12" s="0" t="inlineStr">
        <is>
          <t xml:space="preserve">Normal</t>
        </is>
      </c>
      <c r="J12" s="0" t="inlineStr">
        <is>
          <t xml:space="preserve">07:00</t>
        </is>
      </c>
      <c r="K12" s="0" t="inlineStr">
        <is>
          <t xml:space="preserve">16:00</t>
        </is>
      </c>
      <c r="L12" s="9">
        <v>9</v>
      </c>
      <c r="M12" s="9">
        <v>9</v>
      </c>
      <c r="N12" s="6"/>
      <c r="O12" s="10">
        <f>IF(N12&lt;&gt;"",N12,M12)</f>
      </c>
      <c r="P12" s="4">
        <v>855</v>
      </c>
      <c r="Q12" s="7"/>
      <c r="R12" s="5">
        <f>IF(Q12&lt;&gt;"",Q12,IF(N12&lt;&gt;"",IF(M12&gt;0,ROUND(P12*N12/M12,2),0),P12))</f>
      </c>
      <c r="S12" s="9">
        <v>95</v>
      </c>
      <c r="T12" s="0" t="inlineStr">
        <is>
          <t xml:space="preserve">Venue/event: 9 h × R95</t>
        </is>
      </c>
      <c r="U12" s="6"/>
    </row>
    <row r="13">
      <c r="A13" s="0">
        <v>9787</v>
      </c>
      <c r="B13" s="0" t="inlineStr">
        <is>
          <t xml:space="preserve">Daniel Motaung</t>
        </is>
      </c>
      <c r="C13" s="0" t="inlineStr">
        <is>
          <t xml:space="preserve">2026-09-22</t>
        </is>
      </c>
      <c r="D13" s="0" t="inlineStr">
        <is>
          <t xml:space="preserve">Tuesday</t>
        </is>
      </c>
      <c r="F13" s="0" t="inlineStr">
        <is>
          <t xml:space="preserve">Warehouse loading</t>
        </is>
      </c>
      <c r="G13" s="0" t="inlineStr">
        <is>
          <t xml:space="preserve">Henley on Klip</t>
        </is>
      </c>
      <c r="H13" s="0" t="inlineStr">
        <is>
          <t xml:space="preserve">Warehouse</t>
        </is>
      </c>
      <c r="I13" s="0" t="inlineStr">
        <is>
          <t xml:space="preserve">Normal</t>
        </is>
      </c>
      <c r="J13" s="0" t="inlineStr">
        <is>
          <t xml:space="preserve">07:00</t>
        </is>
      </c>
      <c r="K13" s="0" t="inlineStr">
        <is>
          <t xml:space="preserve">16:00</t>
        </is>
      </c>
      <c r="L13" s="9">
        <v>9</v>
      </c>
      <c r="M13" s="9">
        <v>9</v>
      </c>
      <c r="N13" s="6"/>
      <c r="O13" s="10">
        <f>IF(N13&lt;&gt;"",N13,M13)</f>
      </c>
      <c r="P13" s="4">
        <v>690.63</v>
      </c>
      <c r="Q13" s="7"/>
      <c r="R13" s="5">
        <f>IF(Q13&lt;&gt;"",Q13,IF(N13&lt;&gt;"",IF(M13&gt;0,ROUND(P13*N13/M13,2),0),P13))</f>
      </c>
      <c r="S13" s="9">
        <v>81.25</v>
      </c>
      <c r="T13" s="0" t="inlineStr">
        <is>
          <t xml:space="preserve">Warehouse: 9 h − 0.5 h staff meeting 07:00–07:30 (unpaid, R40,63) = 8.5 h × R81,25</t>
        </is>
      </c>
      <c r="U13" s="6"/>
      <c r="V13" s="0" t="inlineStr">
        <is>
          <t xml:space="preserve">#9990</t>
        </is>
      </c>
    </row>
    <row r="14">
      <c r="A14" s="0">
        <v>9786</v>
      </c>
      <c r="B14" s="0" t="inlineStr">
        <is>
          <t xml:space="preserve">Daniel Motaung</t>
        </is>
      </c>
      <c r="C14" s="0" t="inlineStr">
        <is>
          <t xml:space="preserve">2026-09-23</t>
        </is>
      </c>
      <c r="D14" s="0" t="inlineStr">
        <is>
          <t xml:space="preserve">Wednesday</t>
        </is>
      </c>
      <c r="F14" s="0" t="inlineStr">
        <is>
          <t xml:space="preserve">Set up vaal Boating</t>
        </is>
      </c>
      <c r="G14" s="0" t="inlineStr">
        <is>
          <t xml:space="preserve">Vandrebilpark</t>
        </is>
      </c>
      <c r="H14" s="0" t="inlineStr">
        <is>
          <t xml:space="preserve">Set Up</t>
        </is>
      </c>
      <c r="I14" s="0" t="inlineStr">
        <is>
          <t xml:space="preserve">Normal</t>
        </is>
      </c>
      <c r="J14" s="0" t="inlineStr">
        <is>
          <t xml:space="preserve">07:00</t>
        </is>
      </c>
      <c r="K14" s="0" t="inlineStr">
        <is>
          <t xml:space="preserve">16:00</t>
        </is>
      </c>
      <c r="L14" s="9">
        <v>9</v>
      </c>
      <c r="M14" s="9">
        <v>9</v>
      </c>
      <c r="N14" s="6"/>
      <c r="O14" s="10">
        <f>IF(N14&lt;&gt;"",N14,M14)</f>
      </c>
      <c r="P14" s="4">
        <v>855</v>
      </c>
      <c r="Q14" s="7"/>
      <c r="R14" s="5">
        <f>IF(Q14&lt;&gt;"",Q14,IF(N14&lt;&gt;"",IF(M14&gt;0,ROUND(P14*N14/M14,2),0),P14))</f>
      </c>
      <c r="S14" s="9">
        <v>95</v>
      </c>
      <c r="T14" s="0" t="inlineStr">
        <is>
          <t xml:space="preserve">Venue/event: 9 h × R95</t>
        </is>
      </c>
      <c r="U14" s="6"/>
    </row>
    <row r="15">
      <c r="A15" s="0">
        <v>9785</v>
      </c>
      <c r="B15" s="0" t="inlineStr">
        <is>
          <t xml:space="preserve">Daniel Motaung</t>
        </is>
      </c>
      <c r="C15" s="0" t="inlineStr">
        <is>
          <t xml:space="preserve">2026-09-24</t>
        </is>
      </c>
      <c r="D15" s="0" t="inlineStr">
        <is>
          <t xml:space="preserve">Thursday</t>
        </is>
      </c>
      <c r="F15" s="0" t="inlineStr">
        <is>
          <t xml:space="preserve">Warehouse</t>
        </is>
      </c>
      <c r="G15" s="0" t="inlineStr">
        <is>
          <t xml:space="preserve">Henley on Klip</t>
        </is>
      </c>
      <c r="H15" s="0" t="inlineStr">
        <is>
          <t xml:space="preserve">Warehouse</t>
        </is>
      </c>
      <c r="I15" s="0" t="inlineStr">
        <is>
          <t xml:space="preserve">Warehouse Team</t>
        </is>
      </c>
      <c r="J15" s="0" t="inlineStr">
        <is>
          <t xml:space="preserve">07:00</t>
        </is>
      </c>
      <c r="K15" s="0" t="inlineStr">
        <is>
          <t xml:space="preserve">15:00</t>
        </is>
      </c>
      <c r="L15" s="9">
        <v>8</v>
      </c>
      <c r="M15" s="9">
        <v>8</v>
      </c>
      <c r="N15" s="6"/>
      <c r="O15" s="10">
        <f>IF(N15&lt;&gt;"",N15,M15)</f>
      </c>
      <c r="P15" s="4">
        <v>1218.75</v>
      </c>
      <c r="Q15" s="7"/>
      <c r="R15" s="5">
        <f>IF(Q15&lt;&gt;"",Q15,IF(N15&lt;&gt;"",IF(M15&gt;0,ROUND(P15*N15/M15,2),0),P15))</f>
      </c>
      <c r="S15" s="9">
        <v>162.5</v>
      </c>
      <c r="T15" s="0" t="inlineStr">
        <is>
          <t xml:space="preserve">OWNER CORRECTION: Owner 23 Sep: Heritage Day — warehouse, hours set to 07:00–15:00 (no set-ups). 7.5 h × R162,50 = R1218.75</t>
        </is>
      </c>
      <c r="U15" s="6"/>
      <c r="V15" s="0" t="inlineStr">
        <is>
          <t xml:space="preserve">#9987</t>
        </is>
      </c>
      <c r="W15" s="0" t="inlineStr">
        <is>
          <t xml:space="preserve">#10138 Public holiday (Heritage Day) — owner to approve or decline: PUBLIC HOLIDAY — Heritage Day (24 Sep 2026): Daniel Motaung worked 07:00–16:00. Held for owner approval.</t>
        </is>
      </c>
      <c r="X15" s="0" t="inlineStr">
        <is>
          <t xml:space="preserve">#10138 DECIDED 7.50 h by Bernie Burness 2026-09-23 10:28: Public holiday (Heritage Day) approved by Bernie Burness 23 Sep — hours set to 07:00–15:00 (no set-ups): Warehouse public holiday (Heritage Day), owner set hours 07:00–15:00: 8.0 h − 0.5 h staff meeting 07:00–07:30 (unpaid) = 7.5 h × R162,50 (R81,25 × 2) = R1218.75</t>
        </is>
      </c>
    </row>
    <row r="16">
      <c r="A16" s="0">
        <v>9784</v>
      </c>
      <c r="B16" s="0" t="inlineStr">
        <is>
          <t xml:space="preserve">Daniel Motaung</t>
        </is>
      </c>
      <c r="C16" s="0" t="inlineStr">
        <is>
          <t xml:space="preserve">2026-09-25</t>
        </is>
      </c>
      <c r="D16" s="0" t="inlineStr">
        <is>
          <t xml:space="preserve">Friday</t>
        </is>
      </c>
      <c r="F16" s="0" t="inlineStr">
        <is>
          <t xml:space="preserve">Vaal Boating</t>
        </is>
      </c>
      <c r="G16" s="0" t="inlineStr">
        <is>
          <t xml:space="preserve">Vandrebilpark</t>
        </is>
      </c>
      <c r="H16" s="0" t="inlineStr">
        <is>
          <t xml:space="preserve">Breakdown</t>
        </is>
      </c>
      <c r="I16" s="0" t="inlineStr">
        <is>
          <t xml:space="preserve">Normal</t>
        </is>
      </c>
      <c r="J16" s="0" t="inlineStr">
        <is>
          <t xml:space="preserve">07:00</t>
        </is>
      </c>
      <c r="K16" s="0" t="inlineStr">
        <is>
          <t xml:space="preserve">16:00</t>
        </is>
      </c>
      <c r="L16" s="9">
        <v>9</v>
      </c>
      <c r="M16" s="9">
        <v>9</v>
      </c>
      <c r="N16" s="6"/>
      <c r="O16" s="10">
        <f>IF(N16&lt;&gt;"",N16,M16)</f>
      </c>
      <c r="P16" s="4">
        <v>855</v>
      </c>
      <c r="Q16" s="7"/>
      <c r="R16" s="5">
        <f>IF(Q16&lt;&gt;"",Q16,IF(N16&lt;&gt;"",IF(M16&gt;0,ROUND(P16*N16/M16,2),0),P16))</f>
      </c>
      <c r="S16" s="9">
        <v>95</v>
      </c>
      <c r="T16" s="0" t="inlineStr">
        <is>
          <t xml:space="preserve">Venue/event: 9 h × R95</t>
        </is>
      </c>
      <c r="U16" s="6"/>
    </row>
    <row r="17">
      <c r="A17" s="0">
        <v>9822</v>
      </c>
      <c r="B17" s="0" t="inlineStr">
        <is>
          <t xml:space="preserve">Erence Mngomezulu</t>
        </is>
      </c>
      <c r="C17" s="0" t="inlineStr">
        <is>
          <t xml:space="preserve">2026-09-16</t>
        </is>
      </c>
      <c r="D17" s="0" t="inlineStr">
        <is>
          <t xml:space="preserve">Wednesday</t>
        </is>
      </c>
      <c r="E17" s="0" t="inlineStr">
        <is>
          <t xml:space="preserve">YES</t>
        </is>
      </c>
      <c r="F17" s="0" t="inlineStr">
        <is>
          <t xml:space="preserve">Parys golf &amp; country Estate</t>
        </is>
      </c>
      <c r="G17" s="0" t="inlineStr">
        <is>
          <t xml:space="preserve">Parys</t>
        </is>
      </c>
      <c r="H17" s="0" t="inlineStr">
        <is>
          <t xml:space="preserve">Setup</t>
        </is>
      </c>
      <c r="I17" s="0" t="inlineStr">
        <is>
          <t xml:space="preserve">Normal</t>
        </is>
      </c>
      <c r="J17" s="0" t="inlineStr">
        <is>
          <t xml:space="preserve">16:00</t>
        </is>
      </c>
      <c r="K17" s="0" t="inlineStr">
        <is>
          <t xml:space="preserve">18:00</t>
        </is>
      </c>
      <c r="L17" s="9">
        <v>2</v>
      </c>
      <c r="M17" s="9">
        <v>2</v>
      </c>
      <c r="N17" s="6"/>
      <c r="O17" s="10">
        <f>IF(N17&lt;&gt;"",N17,M17)</f>
      </c>
      <c r="P17" s="4">
        <v>190</v>
      </c>
      <c r="Q17" s="7"/>
      <c r="R17" s="5">
        <f>IF(Q17&lt;&gt;"",Q17,IF(N17&lt;&gt;"",IF(M17&gt;0,ROUND(P17*N17/M17,2),0),P17))</f>
      </c>
      <c r="S17" s="9">
        <v>95</v>
      </c>
      <c r="T17" s="0" t="inlineStr">
        <is>
          <t xml:space="preserve">Venue/event: 2 h × R95</t>
        </is>
      </c>
      <c r="U17" s="6"/>
      <c r="W17" s="0" t="inlineStr">
        <is>
          <t xml:space="preserve">CLEAR: worked 07:00–16:00 that day (paid in payroll n/a); these hours are outside those times.</t>
        </is>
      </c>
      <c r="X17" s="0" t="inlineStr">
        <is>
          <t xml:space="preserve">No review needed</t>
        </is>
      </c>
    </row>
    <row r="18">
      <c r="A18" s="0">
        <v>9823</v>
      </c>
      <c r="B18" s="0" t="inlineStr">
        <is>
          <t xml:space="preserve">Erence Mngomezulu</t>
        </is>
      </c>
      <c r="C18" s="0" t="inlineStr">
        <is>
          <t xml:space="preserve">2026-09-17</t>
        </is>
      </c>
      <c r="D18" s="0" t="inlineStr">
        <is>
          <t xml:space="preserve">Thursday</t>
        </is>
      </c>
      <c r="E18" s="0" t="inlineStr">
        <is>
          <t xml:space="preserve">YES</t>
        </is>
      </c>
      <c r="F18" s="0" t="inlineStr">
        <is>
          <t xml:space="preserve">Parys golf &amp; country Estate</t>
        </is>
      </c>
      <c r="G18" s="0" t="inlineStr">
        <is>
          <t xml:space="preserve">Parys</t>
        </is>
      </c>
      <c r="H18" s="0" t="inlineStr">
        <is>
          <t xml:space="preserve">Setup</t>
        </is>
      </c>
      <c r="I18" s="0" t="inlineStr">
        <is>
          <t xml:space="preserve">Normal</t>
        </is>
      </c>
      <c r="J18" s="0" t="inlineStr">
        <is>
          <t xml:space="preserve">06:00</t>
        </is>
      </c>
      <c r="K18" s="0" t="inlineStr">
        <is>
          <t xml:space="preserve">07:00</t>
        </is>
      </c>
      <c r="L18" s="9">
        <v>1</v>
      </c>
      <c r="M18" s="9">
        <v>1</v>
      </c>
      <c r="N18" s="6"/>
      <c r="O18" s="10">
        <f>IF(N18&lt;&gt;"",N18,M18)</f>
      </c>
      <c r="P18" s="4">
        <v>95</v>
      </c>
      <c r="Q18" s="7"/>
      <c r="R18" s="5">
        <f>IF(Q18&lt;&gt;"",Q18,IF(N18&lt;&gt;"",IF(M18&gt;0,ROUND(P18*N18/M18,2),0),P18))</f>
      </c>
      <c r="S18" s="9">
        <v>95</v>
      </c>
      <c r="T18" s="0" t="inlineStr">
        <is>
          <t xml:space="preserve">Venue/event: 1 h × R95</t>
        </is>
      </c>
      <c r="U18" s="6"/>
      <c r="W18" s="0" t="inlineStr">
        <is>
          <t xml:space="preserve">CLEAR: worked 07:00–16:00 that day (paid in payroll n/a); these hours are outside those times.</t>
        </is>
      </c>
      <c r="X18" s="0" t="inlineStr">
        <is>
          <t xml:space="preserve">No review needed</t>
        </is>
      </c>
    </row>
    <row r="19">
      <c r="A19" s="0">
        <v>9824</v>
      </c>
      <c r="B19" s="0" t="inlineStr">
        <is>
          <t xml:space="preserve">Erence Mngomezulu</t>
        </is>
      </c>
      <c r="C19" s="0" t="inlineStr">
        <is>
          <t xml:space="preserve">2026-09-17</t>
        </is>
      </c>
      <c r="D19" s="0" t="inlineStr">
        <is>
          <t xml:space="preserve">Thursday</t>
        </is>
      </c>
      <c r="E19" s="0" t="inlineStr">
        <is>
          <t xml:space="preserve">YES</t>
        </is>
      </c>
      <c r="F19" s="0" t="inlineStr">
        <is>
          <t xml:space="preserve">Parys golf &amp; country Estate</t>
        </is>
      </c>
      <c r="G19" s="0" t="inlineStr">
        <is>
          <t xml:space="preserve">Parys</t>
        </is>
      </c>
      <c r="H19" s="0" t="inlineStr">
        <is>
          <t xml:space="preserve">Strike down</t>
        </is>
      </c>
      <c r="I19" s="0" t="inlineStr">
        <is>
          <t xml:space="preserve">Normal</t>
        </is>
      </c>
      <c r="J19" s="0" t="inlineStr">
        <is>
          <t xml:space="preserve">16:00</t>
        </is>
      </c>
      <c r="K19" s="0" t="inlineStr">
        <is>
          <t xml:space="preserve">20:00</t>
        </is>
      </c>
      <c r="L19" s="9">
        <v>4</v>
      </c>
      <c r="M19" s="9">
        <v>4</v>
      </c>
      <c r="N19" s="6"/>
      <c r="O19" s="10">
        <f>IF(N19&lt;&gt;"",N19,M19)</f>
      </c>
      <c r="P19" s="4">
        <v>380</v>
      </c>
      <c r="Q19" s="7"/>
      <c r="R19" s="5">
        <f>IF(Q19&lt;&gt;"",Q19,IF(N19&lt;&gt;"",IF(M19&gt;0,ROUND(P19*N19/M19,2),0),P19))</f>
      </c>
      <c r="S19" s="9">
        <v>95</v>
      </c>
      <c r="T19" s="0" t="inlineStr">
        <is>
          <t xml:space="preserve">Venue/event: 4 h × R95</t>
        </is>
      </c>
      <c r="U19" s="6"/>
      <c r="W19" s="0" t="inlineStr">
        <is>
          <t xml:space="preserve">CLEAR: worked 07:00–16:00 that day (paid in payroll n/a); these hours are outside those times.</t>
        </is>
      </c>
      <c r="X19" s="0" t="inlineStr">
        <is>
          <t xml:space="preserve">No review needed</t>
        </is>
      </c>
    </row>
    <row r="20">
      <c r="A20" s="0">
        <v>9825</v>
      </c>
      <c r="B20" s="0" t="inlineStr">
        <is>
          <t xml:space="preserve">Erence Mngomezulu</t>
        </is>
      </c>
      <c r="C20" s="0" t="inlineStr">
        <is>
          <t xml:space="preserve">2026-09-21</t>
        </is>
      </c>
      <c r="D20" s="0" t="inlineStr">
        <is>
          <t xml:space="preserve">Monday</t>
        </is>
      </c>
      <c r="F20" s="0" t="inlineStr">
        <is>
          <t xml:space="preserve">FNB Stadium</t>
        </is>
      </c>
      <c r="G20" s="0" t="inlineStr">
        <is>
          <t xml:space="preserve">Johannesburg</t>
        </is>
      </c>
      <c r="H20" s="0" t="inlineStr">
        <is>
          <t xml:space="preserve">Strike down</t>
        </is>
      </c>
      <c r="I20" s="0" t="inlineStr">
        <is>
          <t xml:space="preserve">Normal</t>
        </is>
      </c>
      <c r="J20" s="0" t="inlineStr">
        <is>
          <t xml:space="preserve">07:00</t>
        </is>
      </c>
      <c r="K20" s="0" t="inlineStr">
        <is>
          <t xml:space="preserve">16:00</t>
        </is>
      </c>
      <c r="L20" s="9">
        <v>9</v>
      </c>
      <c r="M20" s="9">
        <v>9</v>
      </c>
      <c r="N20" s="6"/>
      <c r="O20" s="10">
        <f>IF(N20&lt;&gt;"",N20,M20)</f>
      </c>
      <c r="P20" s="4">
        <v>855</v>
      </c>
      <c r="Q20" s="7"/>
      <c r="R20" s="5">
        <f>IF(Q20&lt;&gt;"",Q20,IF(N20&lt;&gt;"",IF(M20&gt;0,ROUND(P20*N20/M20,2),0),P20))</f>
      </c>
      <c r="S20" s="9">
        <v>95</v>
      </c>
      <c r="T20" s="0" t="inlineStr">
        <is>
          <t xml:space="preserve">Venue/event: 9 h × R95</t>
        </is>
      </c>
      <c r="U20" s="6"/>
    </row>
    <row r="21">
      <c r="A21" s="0">
        <v>9826</v>
      </c>
      <c r="B21" s="0" t="inlineStr">
        <is>
          <t xml:space="preserve">Erence Mngomezulu</t>
        </is>
      </c>
      <c r="C21" s="0" t="inlineStr">
        <is>
          <t xml:space="preserve">2026-09-22</t>
        </is>
      </c>
      <c r="D21" s="0" t="inlineStr">
        <is>
          <t xml:space="preserve">Tuesday</t>
        </is>
      </c>
      <c r="F21" s="0" t="inlineStr">
        <is>
          <t xml:space="preserve">Warehouse</t>
        </is>
      </c>
      <c r="G21" s="0" t="inlineStr">
        <is>
          <t xml:space="preserve">Meyerton</t>
        </is>
      </c>
      <c r="H21" s="0" t="inlineStr">
        <is>
          <t xml:space="preserve">Loading/offloading/cleaning and packing</t>
        </is>
      </c>
      <c r="I21" s="0" t="inlineStr">
        <is>
          <t xml:space="preserve">Normal</t>
        </is>
      </c>
      <c r="J21" s="0" t="inlineStr">
        <is>
          <t xml:space="preserve">07:00</t>
        </is>
      </c>
      <c r="K21" s="0" t="inlineStr">
        <is>
          <t xml:space="preserve">16:00</t>
        </is>
      </c>
      <c r="L21" s="9">
        <v>9</v>
      </c>
      <c r="M21" s="9">
        <v>9</v>
      </c>
      <c r="N21" s="6"/>
      <c r="O21" s="10">
        <f>IF(N21&lt;&gt;"",N21,M21)</f>
      </c>
      <c r="P21" s="4">
        <v>690.63</v>
      </c>
      <c r="Q21" s="7"/>
      <c r="R21" s="5">
        <f>IF(Q21&lt;&gt;"",Q21,IF(N21&lt;&gt;"",IF(M21&gt;0,ROUND(P21*N21/M21,2),0),P21))</f>
      </c>
      <c r="S21" s="9">
        <v>81.25</v>
      </c>
      <c r="T21" s="0" t="inlineStr">
        <is>
          <t xml:space="preserve">Warehouse: 9 h − 0.5 h staff meeting 07:00–07:30 (unpaid, R40,63) = 8.5 h × R81,25</t>
        </is>
      </c>
      <c r="U21" s="6"/>
      <c r="V21" s="0" t="inlineStr">
        <is>
          <t xml:space="preserve">#10048</t>
        </is>
      </c>
    </row>
    <row r="22">
      <c r="A22" s="0">
        <v>9827</v>
      </c>
      <c r="B22" s="0" t="inlineStr">
        <is>
          <t xml:space="preserve">Erence Mngomezulu</t>
        </is>
      </c>
      <c r="C22" s="0" t="inlineStr">
        <is>
          <t xml:space="preserve">2026-09-23</t>
        </is>
      </c>
      <c r="D22" s="0" t="inlineStr">
        <is>
          <t xml:space="preserve">Wednesday</t>
        </is>
      </c>
      <c r="F22" s="0" t="inlineStr">
        <is>
          <t xml:space="preserve">Warehouse</t>
        </is>
      </c>
      <c r="G22" s="0" t="inlineStr">
        <is>
          <t xml:space="preserve">Meyerton</t>
        </is>
      </c>
      <c r="H22" s="0" t="inlineStr">
        <is>
          <t xml:space="preserve">Loading/offloading/cleaning and packing</t>
        </is>
      </c>
      <c r="I22" s="0" t="inlineStr">
        <is>
          <t xml:space="preserve">Normal</t>
        </is>
      </c>
      <c r="J22" s="0" t="inlineStr">
        <is>
          <t xml:space="preserve">07:00</t>
        </is>
      </c>
      <c r="K22" s="0" t="inlineStr">
        <is>
          <t xml:space="preserve">16:00</t>
        </is>
      </c>
      <c r="L22" s="9">
        <v>9</v>
      </c>
      <c r="M22" s="9">
        <v>9</v>
      </c>
      <c r="N22" s="6"/>
      <c r="O22" s="10">
        <f>IF(N22&lt;&gt;"",N22,M22)</f>
      </c>
      <c r="P22" s="4">
        <v>690.63</v>
      </c>
      <c r="Q22" s="7"/>
      <c r="R22" s="5">
        <f>IF(Q22&lt;&gt;"",Q22,IF(N22&lt;&gt;"",IF(M22&gt;0,ROUND(P22*N22/M22,2),0),P22))</f>
      </c>
      <c r="S22" s="9">
        <v>81.25</v>
      </c>
      <c r="T22" s="0" t="inlineStr">
        <is>
          <t xml:space="preserve">Warehouse: 9 h − 0.5 h staff meeting 07:00–07:30 (unpaid, R40,63) = 8.5 h × R81,25</t>
        </is>
      </c>
      <c r="U22" s="6"/>
      <c r="V22" s="0" t="inlineStr">
        <is>
          <t xml:space="preserve">#10050</t>
        </is>
      </c>
    </row>
    <row r="23">
      <c r="A23" s="0">
        <v>9829</v>
      </c>
      <c r="B23" s="0" t="inlineStr">
        <is>
          <t xml:space="preserve">Erence Mngomezulu</t>
        </is>
      </c>
      <c r="C23" s="0" t="inlineStr">
        <is>
          <t xml:space="preserve">2026-09-24</t>
        </is>
      </c>
      <c r="D23" s="0" t="inlineStr">
        <is>
          <t xml:space="preserve">Thursday</t>
        </is>
      </c>
      <c r="F23" s="0" t="inlineStr">
        <is>
          <t xml:space="preserve">Warehouse</t>
        </is>
      </c>
      <c r="G23" s="0" t="inlineStr">
        <is>
          <t xml:space="preserve">Meyerton</t>
        </is>
      </c>
      <c r="H23" s="0" t="inlineStr">
        <is>
          <t xml:space="preserve">Loading/offloading/cleaning and packing</t>
        </is>
      </c>
      <c r="I23" s="0" t="inlineStr">
        <is>
          <t xml:space="preserve">Warehouse Team</t>
        </is>
      </c>
      <c r="J23" s="0" t="inlineStr">
        <is>
          <t xml:space="preserve">07:00</t>
        </is>
      </c>
      <c r="K23" s="0" t="inlineStr">
        <is>
          <t xml:space="preserve">15:00</t>
        </is>
      </c>
      <c r="L23" s="9">
        <v>8</v>
      </c>
      <c r="M23" s="9">
        <v>8</v>
      </c>
      <c r="N23" s="6"/>
      <c r="O23" s="10">
        <f>IF(N23&lt;&gt;"",N23,M23)</f>
      </c>
      <c r="P23" s="4">
        <v>1218.75</v>
      </c>
      <c r="Q23" s="7"/>
      <c r="R23" s="5">
        <f>IF(Q23&lt;&gt;"",Q23,IF(N23&lt;&gt;"",IF(M23&gt;0,ROUND(P23*N23/M23,2),0),P23))</f>
      </c>
      <c r="S23" s="9">
        <v>162.5</v>
      </c>
      <c r="T23" s="0" t="inlineStr">
        <is>
          <t xml:space="preserve">OWNER CORRECTION: Owner 23 Sep: Heritage Day — warehouse, hours set to 07:00–15:00 (no set-ups). 7.5 h × R162,50 = R1218.75</t>
        </is>
      </c>
      <c r="U23" s="6"/>
      <c r="V23" s="0" t="inlineStr">
        <is>
          <t xml:space="preserve">#10053</t>
        </is>
      </c>
      <c r="W23" s="0" t="inlineStr">
        <is>
          <t xml:space="preserve">#10139 Public holiday (Heritage Day) — owner to approve or decline: PUBLIC HOLIDAY — Heritage Day (24 Sep 2026): Erence Mngomezulu worked 07:00–16:00. Held for owner approval.</t>
        </is>
      </c>
      <c r="X23" s="0" t="inlineStr">
        <is>
          <t xml:space="preserve">#10139 DECIDED 7.50 h by Bernie Burness 2026-09-23 10:28: Public holiday (Heritage Day) approved by Bernie Burness 23 Sep — hours set to 07:00–15:00 (no set-ups): Warehouse public holiday (Heritage Day), owner set hours 07:00–15:00: 8.0 h − 0.5 h staff meeting 07:00–07:30 (unpaid) = 7.5 h × R162,50 (R81,25 × 2) = R1218.75</t>
        </is>
      </c>
    </row>
    <row r="24">
      <c r="A24" s="0">
        <v>9828</v>
      </c>
      <c r="B24" s="0" t="inlineStr">
        <is>
          <t xml:space="preserve">Erence Mngomezulu</t>
        </is>
      </c>
      <c r="C24" s="0" t="inlineStr">
        <is>
          <t xml:space="preserve">2026-09-25</t>
        </is>
      </c>
      <c r="D24" s="0" t="inlineStr">
        <is>
          <t xml:space="preserve">Friday</t>
        </is>
      </c>
      <c r="F24" s="0" t="inlineStr">
        <is>
          <t xml:space="preserve">Pretoria country club</t>
        </is>
      </c>
      <c r="G24" s="0" t="inlineStr">
        <is>
          <t xml:space="preserve">Pretoria</t>
        </is>
      </c>
      <c r="H24" s="0" t="inlineStr">
        <is>
          <t xml:space="preserve">Setup/standby</t>
        </is>
      </c>
      <c r="I24" s="0" t="inlineStr">
        <is>
          <t xml:space="preserve">Normal</t>
        </is>
      </c>
      <c r="J24" s="0" t="inlineStr">
        <is>
          <t xml:space="preserve">07:00</t>
        </is>
      </c>
      <c r="K24" s="0" t="inlineStr">
        <is>
          <t xml:space="preserve">16:00</t>
        </is>
      </c>
      <c r="L24" s="9">
        <v>9</v>
      </c>
      <c r="M24" s="9">
        <v>9</v>
      </c>
      <c r="N24" s="6"/>
      <c r="O24" s="10">
        <f>IF(N24&lt;&gt;"",N24,M24)</f>
      </c>
      <c r="P24" s="4">
        <v>855</v>
      </c>
      <c r="Q24" s="7"/>
      <c r="R24" s="5">
        <f>IF(Q24&lt;&gt;"",Q24,IF(N24&lt;&gt;"",IF(M24&gt;0,ROUND(P24*N24/M24,2),0),P24))</f>
      </c>
      <c r="S24" s="9">
        <v>95</v>
      </c>
      <c r="T24" s="0" t="inlineStr">
        <is>
          <t xml:space="preserve">Venue/event: 9 h × R95</t>
        </is>
      </c>
      <c r="U24" s="6"/>
    </row>
    <row r="25">
      <c r="A25" s="0">
        <v>9801</v>
      </c>
      <c r="B25" s="0" t="inlineStr">
        <is>
          <t xml:space="preserve">Erick Mpho Molefe</t>
        </is>
      </c>
      <c r="C25" s="0" t="inlineStr">
        <is>
          <t xml:space="preserve">2026-09-17</t>
        </is>
      </c>
      <c r="D25" s="0" t="inlineStr">
        <is>
          <t xml:space="preserve">Thursday</t>
        </is>
      </c>
      <c r="E25" s="0" t="inlineStr">
        <is>
          <t xml:space="preserve">YES</t>
        </is>
      </c>
      <c r="F25" s="0" t="inlineStr">
        <is>
          <t xml:space="preserve">FNB Stadium</t>
        </is>
      </c>
      <c r="G25" s="0" t="inlineStr">
        <is>
          <t xml:space="preserve">Johannesburg</t>
        </is>
      </c>
      <c r="H25" s="0" t="inlineStr">
        <is>
          <t xml:space="preserve">Setup FNB Stadium Scorpion Kings concert (extra hours after Clarens 07–16)</t>
        </is>
      </c>
      <c r="I25" s="0" t="inlineStr">
        <is>
          <t xml:space="preserve">Normal</t>
        </is>
      </c>
      <c r="J25" s="0" t="inlineStr">
        <is>
          <t xml:space="preserve">16:00</t>
        </is>
      </c>
      <c r="K25" s="0" t="inlineStr">
        <is>
          <t xml:space="preserve">18:00</t>
        </is>
      </c>
      <c r="L25" s="9">
        <v>2</v>
      </c>
      <c r="M25" s="9">
        <v>2</v>
      </c>
      <c r="N25" s="6"/>
      <c r="O25" s="10">
        <f>IF(N25&lt;&gt;"",N25,M25)</f>
      </c>
      <c r="P25" s="4">
        <v>190</v>
      </c>
      <c r="Q25" s="7"/>
      <c r="R25" s="5">
        <f>IF(Q25&lt;&gt;"",Q25,IF(N25&lt;&gt;"",IF(M25&gt;0,ROUND(P25*N25/M25,2),0),P25))</f>
      </c>
      <c r="S25" s="9">
        <v>95</v>
      </c>
      <c r="T25" s="0" t="inlineStr">
        <is>
          <t xml:space="preserve">OWNER CORRECTION: Owner 23 Sep: worker entered this as Mon 21 Sep FNB strike down 07–16 — it was Thu 17 Sep 16:00–18:00 FNB Stadium (same as Bhekizitha #9811). 2 h × R95 = R190</t>
        </is>
      </c>
      <c r="U25" s="6"/>
      <c r="W25" s="0" t="inlineStr">
        <is>
          <t xml:space="preserve">CLEAR: worked 07:00–16:00 that day (paid in payroll n/a); these hours are outside those times.</t>
        </is>
      </c>
      <c r="X25" s="0" t="inlineStr">
        <is>
          <t xml:space="preserve">No review needed</t>
        </is>
      </c>
    </row>
    <row r="26">
      <c r="A26" s="0">
        <v>9859</v>
      </c>
      <c r="B26" s="0" t="inlineStr">
        <is>
          <t xml:space="preserve">Erick Mpho Molefe</t>
        </is>
      </c>
      <c r="C26" s="0" t="inlineStr">
        <is>
          <t xml:space="preserve">2026-09-21</t>
        </is>
      </c>
      <c r="D26" s="0" t="inlineStr">
        <is>
          <t xml:space="preserve">Monday</t>
        </is>
      </c>
      <c r="F26" s="0" t="inlineStr">
        <is>
          <t xml:space="preserve">Warehouse</t>
        </is>
      </c>
      <c r="G26" s="0" t="inlineStr">
        <is>
          <t xml:space="preserve">Henley</t>
        </is>
      </c>
      <c r="H26" s="0" t="inlineStr">
        <is>
          <t xml:space="preserve">Loading (office-entered: worker put FNB on this date by mistake)</t>
        </is>
      </c>
      <c r="I26" s="0" t="inlineStr">
        <is>
          <t xml:space="preserve">Warehouse Team</t>
        </is>
      </c>
      <c r="J26" s="0" t="inlineStr">
        <is>
          <t xml:space="preserve">07:00</t>
        </is>
      </c>
      <c r="K26" s="0" t="inlineStr">
        <is>
          <t xml:space="preserve">16:00</t>
        </is>
      </c>
      <c r="L26" s="9">
        <v>9</v>
      </c>
      <c r="M26" s="9">
        <v>9</v>
      </c>
      <c r="N26" s="6"/>
      <c r="O26" s="10">
        <f>IF(N26&lt;&gt;"",N26,M26)</f>
      </c>
      <c r="P26" s="4">
        <v>690.63</v>
      </c>
      <c r="Q26" s="7"/>
      <c r="R26" s="5">
        <f>IF(Q26&lt;&gt;"",Q26,IF(N26&lt;&gt;"",IF(M26&gt;0,ROUND(P26*N26/M26,2),0),P26))</f>
      </c>
      <c r="S26" s="9">
        <v>81.25</v>
      </c>
      <c r="T26" s="0" t="inlineStr">
        <is>
          <t xml:space="preserve">OWNER CORRECTION: Owner 23 Sep: Erick was in the warehouse Mon 21 Sep; his FNB entry on this date was really Thu 17 Sep 16–18. 9 h − 0.5 h meeting = 8.5 h × R81,25 = R690,63</t>
        </is>
      </c>
      <c r="U26" s="6"/>
    </row>
    <row r="27">
      <c r="A27" s="0">
        <v>9800</v>
      </c>
      <c r="B27" s="0" t="inlineStr">
        <is>
          <t xml:space="preserve">Erick Mpho Molefe</t>
        </is>
      </c>
      <c r="C27" s="0" t="inlineStr">
        <is>
          <t xml:space="preserve">2026-09-22</t>
        </is>
      </c>
      <c r="D27" s="0" t="inlineStr">
        <is>
          <t xml:space="preserve">Tuesday</t>
        </is>
      </c>
      <c r="F27" s="0" t="inlineStr">
        <is>
          <t xml:space="preserve">warehouse</t>
        </is>
      </c>
      <c r="G27" s="0" t="inlineStr">
        <is>
          <t xml:space="preserve">henley</t>
        </is>
      </c>
      <c r="H27" s="0" t="inlineStr">
        <is>
          <t xml:space="preserve">loading</t>
        </is>
      </c>
      <c r="I27" s="0" t="inlineStr">
        <is>
          <t xml:space="preserve">Normal</t>
        </is>
      </c>
      <c r="J27" s="0" t="inlineStr">
        <is>
          <t xml:space="preserve">07:00</t>
        </is>
      </c>
      <c r="K27" s="0" t="inlineStr">
        <is>
          <t xml:space="preserve">16:00</t>
        </is>
      </c>
      <c r="L27" s="9">
        <v>9</v>
      </c>
      <c r="M27" s="9">
        <v>9</v>
      </c>
      <c r="N27" s="6"/>
      <c r="O27" s="10">
        <f>IF(N27&lt;&gt;"",N27,M27)</f>
      </c>
      <c r="P27" s="4">
        <v>690.63</v>
      </c>
      <c r="Q27" s="7"/>
      <c r="R27" s="5">
        <f>IF(Q27&lt;&gt;"",Q27,IF(N27&lt;&gt;"",IF(M27&gt;0,ROUND(P27*N27/M27,2),0),P27))</f>
      </c>
      <c r="S27" s="9">
        <v>81.25</v>
      </c>
      <c r="T27" s="0" t="inlineStr">
        <is>
          <t xml:space="preserve">Warehouse: 9 h − 0.5 h staff meeting 07:00–07:30 (unpaid, R40,63) = 8.5 h × R81,25</t>
        </is>
      </c>
      <c r="U27" s="6"/>
      <c r="V27" s="0" t="inlineStr">
        <is>
          <t xml:space="preserve">#10015</t>
        </is>
      </c>
    </row>
    <row r="28">
      <c r="A28" s="0">
        <v>9799</v>
      </c>
      <c r="B28" s="0" t="inlineStr">
        <is>
          <t xml:space="preserve">Erick Mpho Molefe</t>
        </is>
      </c>
      <c r="C28" s="0" t="inlineStr">
        <is>
          <t xml:space="preserve">2026-09-23</t>
        </is>
      </c>
      <c r="D28" s="0" t="inlineStr">
        <is>
          <t xml:space="preserve">Wednesday</t>
        </is>
      </c>
      <c r="F28" s="0" t="inlineStr">
        <is>
          <t xml:space="preserve">wharehouse</t>
        </is>
      </c>
      <c r="G28" s="0" t="inlineStr">
        <is>
          <t xml:space="preserve">henley</t>
        </is>
      </c>
      <c r="H28" s="0" t="inlineStr">
        <is>
          <t xml:space="preserve">loading</t>
        </is>
      </c>
      <c r="I28" s="0" t="inlineStr">
        <is>
          <t xml:space="preserve">Normal</t>
        </is>
      </c>
      <c r="J28" s="0" t="inlineStr">
        <is>
          <t xml:space="preserve">07:00</t>
        </is>
      </c>
      <c r="K28" s="0" t="inlineStr">
        <is>
          <t xml:space="preserve">16:00</t>
        </is>
      </c>
      <c r="L28" s="9">
        <v>9</v>
      </c>
      <c r="M28" s="9">
        <v>9</v>
      </c>
      <c r="N28" s="6"/>
      <c r="O28" s="10">
        <f>IF(N28&lt;&gt;"",N28,M28)</f>
      </c>
      <c r="P28" s="4">
        <v>690.63</v>
      </c>
      <c r="Q28" s="7"/>
      <c r="R28" s="5">
        <f>IF(Q28&lt;&gt;"",Q28,IF(N28&lt;&gt;"",IF(M28&gt;0,ROUND(P28*N28/M28,2),0),P28))</f>
      </c>
      <c r="S28" s="9">
        <v>81.25</v>
      </c>
      <c r="T28" s="0" t="inlineStr">
        <is>
          <t xml:space="preserve">OWNER CORRECTION: Warehouse (owner 23 Sep): 8.5 h × R81,25 = R690,63</t>
        </is>
      </c>
      <c r="U28" s="6"/>
    </row>
    <row r="29">
      <c r="A29" s="0">
        <v>9798</v>
      </c>
      <c r="B29" s="0" t="inlineStr">
        <is>
          <t xml:space="preserve">Erick Mpho Molefe</t>
        </is>
      </c>
      <c r="C29" s="0" t="inlineStr">
        <is>
          <t xml:space="preserve">2026-09-24</t>
        </is>
      </c>
      <c r="D29" s="0" t="inlineStr">
        <is>
          <t xml:space="preserve">Thursday</t>
        </is>
      </c>
      <c r="F29" s="0" t="inlineStr">
        <is>
          <t xml:space="preserve">wharehouse</t>
        </is>
      </c>
      <c r="G29" s="0" t="inlineStr">
        <is>
          <t xml:space="preserve">Henley</t>
        </is>
      </c>
      <c r="H29" s="0" t="inlineStr">
        <is>
          <t xml:space="preserve">loading</t>
        </is>
      </c>
      <c r="I29" s="0" t="inlineStr">
        <is>
          <t xml:space="preserve">Warehouse Team</t>
        </is>
      </c>
      <c r="J29" s="0" t="inlineStr">
        <is>
          <t xml:space="preserve">07:00</t>
        </is>
      </c>
      <c r="K29" s="0" t="inlineStr">
        <is>
          <t xml:space="preserve">15:00</t>
        </is>
      </c>
      <c r="L29" s="9">
        <v>8</v>
      </c>
      <c r="M29" s="9">
        <v>8</v>
      </c>
      <c r="N29" s="6"/>
      <c r="O29" s="10">
        <f>IF(N29&lt;&gt;"",N29,M29)</f>
      </c>
      <c r="P29" s="4">
        <v>1218.75</v>
      </c>
      <c r="Q29" s="7"/>
      <c r="R29" s="5">
        <f>IF(Q29&lt;&gt;"",Q29,IF(N29&lt;&gt;"",IF(M29&gt;0,ROUND(P29*N29/M29,2),0),P29))</f>
      </c>
      <c r="S29" s="9">
        <v>162.5</v>
      </c>
      <c r="T29" s="0" t="inlineStr">
        <is>
          <t xml:space="preserve">OWNER CORRECTION: Owner 23 Sep: Heritage Day — warehouse, hours set to 07:00–15:00 (no set-ups). 7.5 h × R162,50 = R1218.75</t>
        </is>
      </c>
      <c r="U29" s="6"/>
      <c r="W29" s="0" t="inlineStr">
        <is>
          <t xml:space="preserve">#10010 Public holiday (Heritage Day) — owner to approve or decline: PUBLIC HOLIDAY — OWNER APPROVAL NEEDED: Erick Mpho Molefe worked 07:00–16:00 on 2026-09-24 (Heritage Day) at wharehouse (Normal). Public-holiday work is not paid automatically. Recommended: Venue/event public holiday (Heritage Day): 9 h × R190 (R95 × 2) = R1 710,00. R0 is paid until the owner approves or declines.</t>
        </is>
      </c>
      <c r="X29" s="0" t="inlineStr">
        <is>
          <t xml:space="preserve">#10010 DECIDED 7.50 h by Bernie Burness 2026-09-23 10:29: Public holiday (Heritage Day) approved by Bernie Burness 23 Sep — hours set to 07:00–15:00 (no set-ups): Warehouse public holiday (Heritage Day), owner set hours 07:00–15:00: 8.0 h − 0.5 h staff meeting 07:00–07:30 (unpaid) = 7.5 h × R162,50 (R81,25 × 2) = R1218.75</t>
        </is>
      </c>
    </row>
    <row r="30">
      <c r="A30" s="0">
        <v>9797</v>
      </c>
      <c r="B30" s="0" t="inlineStr">
        <is>
          <t xml:space="preserve">Erick Mpho Molefe</t>
        </is>
      </c>
      <c r="C30" s="0" t="inlineStr">
        <is>
          <t xml:space="preserve">2026-09-25</t>
        </is>
      </c>
      <c r="D30" s="0" t="inlineStr">
        <is>
          <t xml:space="preserve">Friday</t>
        </is>
      </c>
      <c r="F30" s="0" t="inlineStr">
        <is>
          <t xml:space="preserve">Botanical</t>
        </is>
      </c>
      <c r="G30" s="0" t="inlineStr">
        <is>
          <t xml:space="preserve">johannessburg</t>
        </is>
      </c>
      <c r="H30" s="0" t="inlineStr">
        <is>
          <t xml:space="preserve">set up</t>
        </is>
      </c>
      <c r="I30" s="0" t="inlineStr">
        <is>
          <t xml:space="preserve">Normal</t>
        </is>
      </c>
      <c r="J30" s="0" t="inlineStr">
        <is>
          <t xml:space="preserve">07:00</t>
        </is>
      </c>
      <c r="K30" s="0" t="inlineStr">
        <is>
          <t xml:space="preserve">16:00</t>
        </is>
      </c>
      <c r="L30" s="9">
        <v>9</v>
      </c>
      <c r="M30" s="9">
        <v>9</v>
      </c>
      <c r="N30" s="6"/>
      <c r="O30" s="10">
        <f>IF(N30&lt;&gt;"",N30,M30)</f>
      </c>
      <c r="P30" s="4">
        <v>855</v>
      </c>
      <c r="Q30" s="7"/>
      <c r="R30" s="5">
        <f>IF(Q30&lt;&gt;"",Q30,IF(N30&lt;&gt;"",IF(M30&gt;0,ROUND(P30*N30/M30,2),0),P30))</f>
      </c>
      <c r="S30" s="9">
        <v>95</v>
      </c>
      <c r="T30" s="0" t="inlineStr">
        <is>
          <t xml:space="preserve">Venue/event: 9 h × R95</t>
        </is>
      </c>
      <c r="U30" s="6"/>
    </row>
    <row r="31">
      <c r="A31" s="0">
        <v>9789</v>
      </c>
      <c r="B31" s="0" t="inlineStr">
        <is>
          <t xml:space="preserve">Givemore Chifetete Kuziwa</t>
        </is>
      </c>
      <c r="C31" s="0" t="inlineStr">
        <is>
          <t xml:space="preserve">2026-09-17</t>
        </is>
      </c>
      <c r="D31" s="0" t="inlineStr">
        <is>
          <t xml:space="preserve">Thursday</t>
        </is>
      </c>
      <c r="E31" s="0" t="inlineStr">
        <is>
          <t xml:space="preserve">YES</t>
        </is>
      </c>
      <c r="F31" s="0" t="inlineStr">
        <is>
          <t xml:space="preserve">Warehouse</t>
        </is>
      </c>
      <c r="G31" s="0" t="inlineStr">
        <is>
          <t xml:space="preserve">Pretoria and fnb</t>
        </is>
      </c>
      <c r="H31" s="0" t="inlineStr">
        <is>
          <t xml:space="preserve">Strike down and set up</t>
        </is>
      </c>
      <c r="I31" s="0" t="inlineStr">
        <is>
          <t xml:space="preserve">Warehouse Team</t>
        </is>
      </c>
      <c r="J31" s="0" t="inlineStr">
        <is>
          <t xml:space="preserve">06:00</t>
        </is>
      </c>
      <c r="K31" s="0" t="inlineStr">
        <is>
          <t xml:space="preserve">18:00</t>
        </is>
      </c>
      <c r="L31" s="9">
        <v>12</v>
      </c>
      <c r="M31" s="9">
        <v>12</v>
      </c>
      <c r="N31" s="6"/>
      <c r="O31" s="10">
        <f>IF(N31&lt;&gt;"",N31,M31)</f>
      </c>
      <c r="P31" s="4">
        <v>640</v>
      </c>
      <c r="Q31" s="7"/>
      <c r="R31" s="5">
        <f>IF(Q31&lt;&gt;"",Q31,IF(N31&lt;&gt;"",IF(M31&gt;0,ROUND(P31*N31/M31,2),0),P31))</f>
      </c>
      <c r="S31" s="9">
        <v>95</v>
      </c>
      <c r="T31" s="0" t="inlineStr">
        <is>
          <t xml:space="preserve">DIFFERENCE ONLY (Venue R95/h chosen by Bernie Burness, #10073): Paid last week 08:00–16:00 House/Garden 8.00 h × R62,50 = R500,00 (shift #9705, payroll earlier); 06:00–18:00 at a venue = R1 140,00 (R95,00/h); less the House/Garden already paid R500,00; TO PAY THIS WEEK R640,00</t>
        </is>
      </c>
      <c r="U31" s="6"/>
      <c r="W31" s="0" t="inlineStr">
        <is>
          <t xml:space="preserve">OVERLAP: already paid 08:00–16:00 (Garden, R500,00, payroll n/a) on this day. | #10073 Warehouse claimed — but area says “Pretoria and fnb”: WAREHOUSE CLAIMED BUT AREA SAYS “Pretoria and fnb”: Givemore Chifetete Kuziwa selected Warehouse Team at “Warehouse” for 12.00 h on Thu 17 Sep 2026, but wrote the area as “Pretoria and fnb” — that is a venue, not the warehouse. Other workers were at Botanical garden Pretoria that day. If he was at “Pretoria and fnb”, he is due the venue rate (R95/h); if he was really in the warehouse, R81,25/h. Choose below.</t>
        </is>
      </c>
      <c r="X31" s="0" t="inlineStr">
        <is>
          <t xml:space="preserve">#10073 DECIDED by Bernie Burness 2026-09-23 08:58: Event/Venue rate chosen — shift #9789 R934,38 → R640,00 (Venue/event: 12 h × R95 → DIFFERENCE ONLY: Paid last week 08:00–16:00 House/Garden 8.00 h × R62,50 = R500,00 (shift #9705, payroll earlier); 06:00–18:00 at a venue = R1 140,00 (R95,00/h); less the House/Garden already paid R500,00; TO PAY THIS WEEK R640,00)</t>
        </is>
      </c>
    </row>
    <row r="32">
      <c r="A32" s="0">
        <v>9790</v>
      </c>
      <c r="B32" s="0" t="inlineStr">
        <is>
          <t xml:space="preserve">Givemore Chifetete Kuziwa</t>
        </is>
      </c>
      <c r="C32" s="0" t="inlineStr">
        <is>
          <t xml:space="preserve">2026-09-19</t>
        </is>
      </c>
      <c r="D32" s="0" t="inlineStr">
        <is>
          <t xml:space="preserve">Saturday</t>
        </is>
      </c>
      <c r="F32" s="0" t="inlineStr">
        <is>
          <t xml:space="preserve">Garden</t>
        </is>
      </c>
      <c r="G32" s="0" t="inlineStr">
        <is>
          <t xml:space="preserve">Henley on klip</t>
        </is>
      </c>
      <c r="H32" s="0" t="inlineStr">
        <is>
          <t xml:space="preserve">Cleaning</t>
        </is>
      </c>
      <c r="I32" s="0" t="inlineStr">
        <is>
          <t xml:space="preserve">House/Garden</t>
        </is>
      </c>
      <c r="J32" s="0" t="inlineStr">
        <is>
          <t xml:space="preserve">08:00</t>
        </is>
      </c>
      <c r="K32" s="0" t="inlineStr">
        <is>
          <t xml:space="preserve">14:00</t>
        </is>
      </c>
      <c r="L32" s="9">
        <v>6</v>
      </c>
      <c r="M32" s="9">
        <v>6</v>
      </c>
      <c r="N32" s="6"/>
      <c r="O32" s="10">
        <f>IF(N32&lt;&gt;"",N32,M32)</f>
      </c>
      <c r="P32" s="4">
        <v>375</v>
      </c>
      <c r="Q32" s="7"/>
      <c r="R32" s="5">
        <f>IF(Q32&lt;&gt;"",Q32,IF(N32&lt;&gt;"",IF(M32&gt;0,ROUND(P32*N32/M32,2),0),P32))</f>
      </c>
      <c r="S32" s="9">
        <v>62.5</v>
      </c>
      <c r="T32" s="0" t="inlineStr">
        <is>
          <t xml:space="preserve">Gardener House work: 6 h × R62,50</t>
        </is>
      </c>
      <c r="U32" s="6"/>
    </row>
    <row r="33">
      <c r="A33" s="0">
        <v>9791</v>
      </c>
      <c r="B33" s="0" t="inlineStr">
        <is>
          <t xml:space="preserve">Givemore Chifetete Kuziwa</t>
        </is>
      </c>
      <c r="C33" s="0" t="inlineStr">
        <is>
          <t xml:space="preserve">2026-09-21</t>
        </is>
      </c>
      <c r="D33" s="0" t="inlineStr">
        <is>
          <t xml:space="preserve">Monday</t>
        </is>
      </c>
      <c r="F33" s="0" t="inlineStr">
        <is>
          <t xml:space="preserve">Garden</t>
        </is>
      </c>
      <c r="G33" s="0" t="inlineStr">
        <is>
          <t xml:space="preserve">Henley on klip</t>
        </is>
      </c>
      <c r="H33" s="0" t="inlineStr">
        <is>
          <t xml:space="preserve">Cleaning</t>
        </is>
      </c>
      <c r="I33" s="0" t="inlineStr">
        <is>
          <t xml:space="preserve">House/Garden</t>
        </is>
      </c>
      <c r="J33" s="0" t="inlineStr">
        <is>
          <t xml:space="preserve">08:00</t>
        </is>
      </c>
      <c r="K33" s="0" t="inlineStr">
        <is>
          <t xml:space="preserve">16:00</t>
        </is>
      </c>
      <c r="L33" s="9">
        <v>8</v>
      </c>
      <c r="M33" s="9">
        <v>8</v>
      </c>
      <c r="N33" s="6"/>
      <c r="O33" s="10">
        <f>IF(N33&lt;&gt;"",N33,M33)</f>
      </c>
      <c r="P33" s="4">
        <v>500</v>
      </c>
      <c r="Q33" s="7"/>
      <c r="R33" s="5">
        <f>IF(Q33&lt;&gt;"",Q33,IF(N33&lt;&gt;"",IF(M33&gt;0,ROUND(P33*N33/M33,2),0),P33))</f>
      </c>
      <c r="S33" s="9">
        <v>62.5</v>
      </c>
      <c r="T33" s="0" t="inlineStr">
        <is>
          <t xml:space="preserve">Gardener House work: 8 h × R62,50</t>
        </is>
      </c>
      <c r="U33" s="6"/>
    </row>
    <row r="34">
      <c r="A34" s="0">
        <v>9792</v>
      </c>
      <c r="B34" s="0" t="inlineStr">
        <is>
          <t xml:space="preserve">Givemore Chifetete Kuziwa</t>
        </is>
      </c>
      <c r="C34" s="0" t="inlineStr">
        <is>
          <t xml:space="preserve">2026-09-22</t>
        </is>
      </c>
      <c r="D34" s="0" t="inlineStr">
        <is>
          <t xml:space="preserve">Tuesday</t>
        </is>
      </c>
      <c r="F34" s="0" t="inlineStr">
        <is>
          <t xml:space="preserve">Garden</t>
        </is>
      </c>
      <c r="G34" s="0" t="inlineStr">
        <is>
          <t xml:space="preserve">Henley on klip</t>
        </is>
      </c>
      <c r="H34" s="0" t="inlineStr">
        <is>
          <t xml:space="preserve">Cleaning</t>
        </is>
      </c>
      <c r="I34" s="0" t="inlineStr">
        <is>
          <t xml:space="preserve">House/Garden</t>
        </is>
      </c>
      <c r="J34" s="0" t="inlineStr">
        <is>
          <t xml:space="preserve">08:00</t>
        </is>
      </c>
      <c r="K34" s="0" t="inlineStr">
        <is>
          <t xml:space="preserve">16:00</t>
        </is>
      </c>
      <c r="L34" s="9">
        <v>8</v>
      </c>
      <c r="M34" s="9">
        <v>8</v>
      </c>
      <c r="N34" s="6"/>
      <c r="O34" s="10">
        <f>IF(N34&lt;&gt;"",N34,M34)</f>
      </c>
      <c r="P34" s="4">
        <v>500</v>
      </c>
      <c r="Q34" s="7"/>
      <c r="R34" s="5">
        <f>IF(Q34&lt;&gt;"",Q34,IF(N34&lt;&gt;"",IF(M34&gt;0,ROUND(P34*N34/M34,2),0),P34))</f>
      </c>
      <c r="S34" s="9">
        <v>62.5</v>
      </c>
      <c r="T34" s="0" t="inlineStr">
        <is>
          <t xml:space="preserve">Gardener House work: 8 h × R62,50</t>
        </is>
      </c>
      <c r="U34" s="6"/>
    </row>
    <row r="35">
      <c r="A35" s="0">
        <v>9793</v>
      </c>
      <c r="B35" s="0" t="inlineStr">
        <is>
          <t xml:space="preserve">Givemore Chifetete Kuziwa</t>
        </is>
      </c>
      <c r="C35" s="0" t="inlineStr">
        <is>
          <t xml:space="preserve">2026-09-23</t>
        </is>
      </c>
      <c r="D35" s="0" t="inlineStr">
        <is>
          <t xml:space="preserve">Wednesday</t>
        </is>
      </c>
      <c r="F35" s="0" t="inlineStr">
        <is>
          <t xml:space="preserve">Garden</t>
        </is>
      </c>
      <c r="G35" s="0" t="inlineStr">
        <is>
          <t xml:space="preserve">Henley on klip</t>
        </is>
      </c>
      <c r="H35" s="0" t="inlineStr">
        <is>
          <t xml:space="preserve">Cleaning</t>
        </is>
      </c>
      <c r="I35" s="0" t="inlineStr">
        <is>
          <t xml:space="preserve">House/Garden</t>
        </is>
      </c>
      <c r="J35" s="0" t="inlineStr">
        <is>
          <t xml:space="preserve">08:00</t>
        </is>
      </c>
      <c r="K35" s="0" t="inlineStr">
        <is>
          <t xml:space="preserve">16:00</t>
        </is>
      </c>
      <c r="L35" s="9">
        <v>8</v>
      </c>
      <c r="M35" s="9">
        <v>8</v>
      </c>
      <c r="N35" s="6"/>
      <c r="O35" s="10">
        <f>IF(N35&lt;&gt;"",N35,M35)</f>
      </c>
      <c r="P35" s="4">
        <v>500</v>
      </c>
      <c r="Q35" s="7"/>
      <c r="R35" s="5">
        <f>IF(Q35&lt;&gt;"",Q35,IF(N35&lt;&gt;"",IF(M35&gt;0,ROUND(P35*N35/M35,2),0),P35))</f>
      </c>
      <c r="S35" s="9">
        <v>62.5</v>
      </c>
      <c r="T35" s="0" t="inlineStr">
        <is>
          <t xml:space="preserve">Gardener House work: 8 h × R62,50</t>
        </is>
      </c>
      <c r="U35" s="6"/>
    </row>
    <row r="36">
      <c r="A36" s="0">
        <v>9794</v>
      </c>
      <c r="B36" s="0" t="inlineStr">
        <is>
          <t xml:space="preserve">Givemore Chifetete Kuziwa</t>
        </is>
      </c>
      <c r="C36" s="0" t="inlineStr">
        <is>
          <t xml:space="preserve">2026-09-24</t>
        </is>
      </c>
      <c r="D36" s="0" t="inlineStr">
        <is>
          <t xml:space="preserve">Thursday</t>
        </is>
      </c>
      <c r="F36" s="0" t="inlineStr">
        <is>
          <t xml:space="preserve">Garden</t>
        </is>
      </c>
      <c r="G36" s="0" t="inlineStr">
        <is>
          <t xml:space="preserve">Henley on klip</t>
        </is>
      </c>
      <c r="H36" s="0" t="inlineStr">
        <is>
          <t xml:space="preserve">Cleaning</t>
        </is>
      </c>
      <c r="I36" s="0" t="inlineStr">
        <is>
          <t xml:space="preserve">House/Garden</t>
        </is>
      </c>
      <c r="J36" s="0" t="inlineStr">
        <is>
          <t xml:space="preserve">08:00</t>
        </is>
      </c>
      <c r="K36" s="0" t="inlineStr">
        <is>
          <t xml:space="preserve">15:00</t>
        </is>
      </c>
      <c r="L36" s="9">
        <v>7</v>
      </c>
      <c r="M36" s="9">
        <v>7</v>
      </c>
      <c r="N36" s="6"/>
      <c r="O36" s="10">
        <f>IF(N36&lt;&gt;"",N36,M36)</f>
      </c>
      <c r="P36" s="4">
        <v>875</v>
      </c>
      <c r="Q36" s="7"/>
      <c r="R36" s="5">
        <f>IF(Q36&lt;&gt;"",Q36,IF(N36&lt;&gt;"",IF(M36&gt;0,ROUND(P36*N36/M36,2),0),P36))</f>
      </c>
      <c r="S36" s="9">
        <v>125</v>
      </c>
      <c r="T36" s="0" t="inlineStr">
        <is>
          <t xml:space="preserve">OWNER CORRECTION: Owner 23 Sep: Heritage Day — gardener hours set to 08:00–15:00; 7 h × R62,50 × 2 = R875</t>
        </is>
      </c>
      <c r="U36" s="6"/>
      <c r="W36" s="0" t="inlineStr">
        <is>
          <t xml:space="preserve">#10140 Public holiday (Heritage Day) — Givemore — approved R1 000,00 — CHECK HOURS NEXT WEEK: PUBLIC HOLIDAY — Heritage Day: Givemore (gardener) claimed 08:00–16:00. Owner: double the day = R1 000. VERIFY NEXT WEEK whether he actually worked 8 h or 4 h.</t>
        </is>
      </c>
      <c r="X36" s="0" t="inlineStr">
        <is>
          <t xml:space="preserve">#10140 DECIDED 7.00 h by Bernie Burness 2026-09-23 10:31: Public holiday (Heritage Day) approved by Bernie Burness 23 Sep — gardener, hours set to 08:00–15:00: 7 h × R62,50 × 2 = R875,00. CHECK NEXT WEEK what time he really worked until.</t>
        </is>
      </c>
    </row>
    <row r="37">
      <c r="A37" s="0">
        <v>9795</v>
      </c>
      <c r="B37" s="0" t="inlineStr">
        <is>
          <t xml:space="preserve">Givemore Chifetete Kuziwa</t>
        </is>
      </c>
      <c r="C37" s="0" t="inlineStr">
        <is>
          <t xml:space="preserve">2026-09-25</t>
        </is>
      </c>
      <c r="D37" s="0" t="inlineStr">
        <is>
          <t xml:space="preserve">Friday</t>
        </is>
      </c>
      <c r="F37" s="0" t="inlineStr">
        <is>
          <t xml:space="preserve">Garden</t>
        </is>
      </c>
      <c r="G37" s="0" t="inlineStr">
        <is>
          <t xml:space="preserve">Henley on klip</t>
        </is>
      </c>
      <c r="H37" s="0" t="inlineStr">
        <is>
          <t xml:space="preserve">Cleaning</t>
        </is>
      </c>
      <c r="I37" s="0" t="inlineStr">
        <is>
          <t xml:space="preserve">House/Garden</t>
        </is>
      </c>
      <c r="J37" s="0" t="inlineStr">
        <is>
          <t xml:space="preserve">08:00</t>
        </is>
      </c>
      <c r="K37" s="0" t="inlineStr">
        <is>
          <t xml:space="preserve">16:00</t>
        </is>
      </c>
      <c r="L37" s="9">
        <v>8</v>
      </c>
      <c r="M37" s="9">
        <v>8</v>
      </c>
      <c r="N37" s="6"/>
      <c r="O37" s="10">
        <f>IF(N37&lt;&gt;"",N37,M37)</f>
      </c>
      <c r="P37" s="4">
        <v>500</v>
      </c>
      <c r="Q37" s="7"/>
      <c r="R37" s="5">
        <f>IF(Q37&lt;&gt;"",Q37,IF(N37&lt;&gt;"",IF(M37&gt;0,ROUND(P37*N37/M37,2),0),P37))</f>
      </c>
      <c r="S37" s="9">
        <v>62.5</v>
      </c>
      <c r="T37" s="0" t="inlineStr">
        <is>
          <t xml:space="preserve">Gardener House work: 8 h × R62,50</t>
        </is>
      </c>
      <c r="U37" s="6"/>
    </row>
    <row r="38">
      <c r="A38" s="0">
        <v>9850</v>
      </c>
      <c r="B38" s="0" t="inlineStr">
        <is>
          <t xml:space="preserve">Isaac Mbele</t>
        </is>
      </c>
      <c r="C38" s="0" t="inlineStr">
        <is>
          <t xml:space="preserve">2026-09-21</t>
        </is>
      </c>
      <c r="D38" s="0" t="inlineStr">
        <is>
          <t xml:space="preserve">Monday</t>
        </is>
      </c>
      <c r="F38" s="0" t="inlineStr">
        <is>
          <t xml:space="preserve">Warehouse</t>
        </is>
      </c>
      <c r="G38" s="0" t="inlineStr">
        <is>
          <t xml:space="preserve">Randvaal, Gauteng, South Africa</t>
        </is>
      </c>
      <c r="H38" s="0" t="inlineStr">
        <is>
          <t xml:space="preserve">Off Loading</t>
        </is>
      </c>
      <c r="I38" s="0" t="inlineStr">
        <is>
          <t xml:space="preserve">Normal</t>
        </is>
      </c>
      <c r="J38" s="0" t="inlineStr">
        <is>
          <t xml:space="preserve">07:00</t>
        </is>
      </c>
      <c r="K38" s="0" t="inlineStr">
        <is>
          <t xml:space="preserve">16:00</t>
        </is>
      </c>
      <c r="L38" s="9">
        <v>9</v>
      </c>
      <c r="M38" s="9">
        <v>9</v>
      </c>
      <c r="N38" s="6"/>
      <c r="O38" s="10">
        <f>IF(N38&lt;&gt;"",N38,M38)</f>
      </c>
      <c r="P38" s="4">
        <v>690.63</v>
      </c>
      <c r="Q38" s="7"/>
      <c r="R38" s="5">
        <f>IF(Q38&lt;&gt;"",Q38,IF(N38&lt;&gt;"",IF(M38&gt;0,ROUND(P38*N38/M38,2),0),P38))</f>
      </c>
      <c r="S38" s="9">
        <v>81.25</v>
      </c>
      <c r="T38" s="0" t="inlineStr">
        <is>
          <t xml:space="preserve">Warehouse: 9 h − 0.5 h staff meeting 07:00–07:30 (unpaid, R40,63) = 8.5 h × R81,25</t>
        </is>
      </c>
      <c r="U38" s="6"/>
      <c r="V38" s="0" t="inlineStr">
        <is>
          <t xml:space="preserve">#10104</t>
        </is>
      </c>
    </row>
    <row r="39">
      <c r="A39" s="0">
        <v>9851</v>
      </c>
      <c r="B39" s="0" t="inlineStr">
        <is>
          <t xml:space="preserve">Isaac Mbele</t>
        </is>
      </c>
      <c r="C39" s="0" t="inlineStr">
        <is>
          <t xml:space="preserve">2026-09-22</t>
        </is>
      </c>
      <c r="D39" s="0" t="inlineStr">
        <is>
          <t xml:space="preserve">Tuesday</t>
        </is>
      </c>
      <c r="F39" s="0" t="inlineStr">
        <is>
          <t xml:space="preserve">Warehouse</t>
        </is>
      </c>
      <c r="G39" s="0" t="inlineStr">
        <is>
          <t xml:space="preserve">Randvaal, Gauteng, South Africa</t>
        </is>
      </c>
      <c r="H39" s="0" t="inlineStr">
        <is>
          <t xml:space="preserve">Loading</t>
        </is>
      </c>
      <c r="I39" s="0" t="inlineStr">
        <is>
          <t xml:space="preserve">Normal</t>
        </is>
      </c>
      <c r="J39" s="0" t="inlineStr">
        <is>
          <t xml:space="preserve">07:00</t>
        </is>
      </c>
      <c r="K39" s="0" t="inlineStr">
        <is>
          <t xml:space="preserve">16:00</t>
        </is>
      </c>
      <c r="L39" s="9">
        <v>9</v>
      </c>
      <c r="M39" s="9">
        <v>9</v>
      </c>
      <c r="N39" s="6"/>
      <c r="O39" s="10">
        <f>IF(N39&lt;&gt;"",N39,M39)</f>
      </c>
      <c r="P39" s="4">
        <v>690.63</v>
      </c>
      <c r="Q39" s="7"/>
      <c r="R39" s="5">
        <f>IF(Q39&lt;&gt;"",Q39,IF(N39&lt;&gt;"",IF(M39&gt;0,ROUND(P39*N39/M39,2),0),P39))</f>
      </c>
      <c r="S39" s="9">
        <v>81.25</v>
      </c>
      <c r="T39" s="0" t="inlineStr">
        <is>
          <t xml:space="preserve">Warehouse: 9 h − 0.5 h staff meeting 07:00–07:30 (unpaid, R40,63) = 8.5 h × R81,25</t>
        </is>
      </c>
      <c r="U39" s="6"/>
      <c r="V39" s="0" t="inlineStr">
        <is>
          <t xml:space="preserve">#10106</t>
        </is>
      </c>
    </row>
    <row r="40">
      <c r="A40" s="0">
        <v>9854</v>
      </c>
      <c r="B40" s="0" t="inlineStr">
        <is>
          <t xml:space="preserve">Isaac Mbele</t>
        </is>
      </c>
      <c r="C40" s="0" t="inlineStr">
        <is>
          <t xml:space="preserve">2026-09-23</t>
        </is>
      </c>
      <c r="D40" s="0" t="inlineStr">
        <is>
          <t xml:space="preserve">Wednesday</t>
        </is>
      </c>
      <c r="F40" s="0" t="inlineStr">
        <is>
          <t xml:space="preserve">Warehouse</t>
        </is>
      </c>
      <c r="G40" s="0" t="inlineStr">
        <is>
          <t xml:space="preserve">Randvaal, Gauteng, South Africa</t>
        </is>
      </c>
      <c r="H40" s="0" t="inlineStr">
        <is>
          <t xml:space="preserve">Loading</t>
        </is>
      </c>
      <c r="I40" s="0" t="inlineStr">
        <is>
          <t xml:space="preserve">Normal</t>
        </is>
      </c>
      <c r="J40" s="0" t="inlineStr">
        <is>
          <t xml:space="preserve">07:00</t>
        </is>
      </c>
      <c r="K40" s="0" t="inlineStr">
        <is>
          <t xml:space="preserve">16:00</t>
        </is>
      </c>
      <c r="L40" s="9">
        <v>9</v>
      </c>
      <c r="M40" s="9">
        <v>9</v>
      </c>
      <c r="N40" s="6"/>
      <c r="O40" s="10">
        <f>IF(N40&lt;&gt;"",N40,M40)</f>
      </c>
      <c r="P40" s="4">
        <v>690.63</v>
      </c>
      <c r="Q40" s="7"/>
      <c r="R40" s="5">
        <f>IF(Q40&lt;&gt;"",Q40,IF(N40&lt;&gt;"",IF(M40&gt;0,ROUND(P40*N40/M40,2),0),P40))</f>
      </c>
      <c r="S40" s="9">
        <v>81.25</v>
      </c>
      <c r="T40" s="0" t="inlineStr">
        <is>
          <t xml:space="preserve">Warehouse: 9 h − 0.5 h staff meeting 07:00–07:30 (unpaid, R40,63) = 8.5 h × R81,25</t>
        </is>
      </c>
      <c r="U40" s="6"/>
      <c r="V40" s="0" t="inlineStr">
        <is>
          <t xml:space="preserve">#10118</t>
        </is>
      </c>
    </row>
    <row r="41">
      <c r="A41" s="0">
        <v>9856</v>
      </c>
      <c r="B41" s="0" t="inlineStr">
        <is>
          <t xml:space="preserve">Isaac Mbele</t>
        </is>
      </c>
      <c r="C41" s="0" t="inlineStr">
        <is>
          <t xml:space="preserve">2026-09-24</t>
        </is>
      </c>
      <c r="D41" s="0" t="inlineStr">
        <is>
          <t xml:space="preserve">Thursday</t>
        </is>
      </c>
      <c r="F41" s="0" t="inlineStr">
        <is>
          <t xml:space="preserve">Warehouse</t>
        </is>
      </c>
      <c r="G41" s="0" t="inlineStr">
        <is>
          <t xml:space="preserve">Randvaal, Gauteng, South Africa</t>
        </is>
      </c>
      <c r="H41" s="0" t="inlineStr">
        <is>
          <t xml:space="preserve">Loading</t>
        </is>
      </c>
      <c r="I41" s="0" t="inlineStr">
        <is>
          <t xml:space="preserve">Warehouse Team</t>
        </is>
      </c>
      <c r="J41" s="0" t="inlineStr">
        <is>
          <t xml:space="preserve">07:00</t>
        </is>
      </c>
      <c r="K41" s="0" t="inlineStr">
        <is>
          <t xml:space="preserve">15:00</t>
        </is>
      </c>
      <c r="L41" s="9">
        <v>8</v>
      </c>
      <c r="M41" s="9">
        <v>8</v>
      </c>
      <c r="N41" s="6"/>
      <c r="O41" s="10">
        <f>IF(N41&lt;&gt;"",N41,M41)</f>
      </c>
      <c r="P41" s="4">
        <v>1218.75</v>
      </c>
      <c r="Q41" s="7"/>
      <c r="R41" s="5">
        <f>IF(Q41&lt;&gt;"",Q41,IF(N41&lt;&gt;"",IF(M41&gt;0,ROUND(P41*N41/M41,2),0),P41))</f>
      </c>
      <c r="S41" s="9">
        <v>162.5</v>
      </c>
      <c r="T41" s="0" t="inlineStr">
        <is>
          <t xml:space="preserve">OWNER CORRECTION: Owner 23 Sep: Heritage Day — warehouse, hours set to 07:00–15:00 (no set-ups). 7.5 h × R162,50 = R1218.75</t>
        </is>
      </c>
      <c r="U41" s="6"/>
      <c r="V41" s="0" t="inlineStr">
        <is>
          <t xml:space="preserve">#10125</t>
        </is>
      </c>
      <c r="W41" s="0" t="inlineStr">
        <is>
          <t xml:space="preserve">#10141 Public holiday (Heritage Day) — owner to approve or decline: PUBLIC HOLIDAY — Heritage Day (24 Sep 2026): Isaac Mbele worked 07:00–15:00. Held for owner approval.</t>
        </is>
      </c>
      <c r="X41" s="0" t="inlineStr">
        <is>
          <t xml:space="preserve">#10141 DECIDED 7.50 h by Bernie Burness 2026-09-23 10:32: Public holiday (Heritage Day) approved by Bernie Burness 23 Sep — hours set to 07:00–15:00 (no set-ups): Warehouse public holiday (Heritage Day), owner set hours 07:00–15:00: 8.0 h − 0.5 h staff meeting 07:00–07:30 (unpaid) = 7.5 h × R162,50 (R81,25 × 2) = R1218.75</t>
        </is>
      </c>
    </row>
    <row r="42">
      <c r="A42" s="0">
        <v>9858</v>
      </c>
      <c r="B42" s="0" t="inlineStr">
        <is>
          <t xml:space="preserve">Isaac Mbele</t>
        </is>
      </c>
      <c r="C42" s="0" t="inlineStr">
        <is>
          <t xml:space="preserve">2026-09-25</t>
        </is>
      </c>
      <c r="D42" s="0" t="inlineStr">
        <is>
          <t xml:space="preserve">Friday</t>
        </is>
      </c>
      <c r="F42" s="0" t="inlineStr">
        <is>
          <t xml:space="preserve">Warehouse</t>
        </is>
      </c>
      <c r="G42" s="0" t="inlineStr">
        <is>
          <t xml:space="preserve">Randvaal, Gauteng, South Africa</t>
        </is>
      </c>
      <c r="H42" s="0" t="inlineStr">
        <is>
          <t xml:space="preserve">Loading</t>
        </is>
      </c>
      <c r="I42" s="0" t="inlineStr">
        <is>
          <t xml:space="preserve">Normal</t>
        </is>
      </c>
      <c r="J42" s="0" t="inlineStr">
        <is>
          <t xml:space="preserve">07:00</t>
        </is>
      </c>
      <c r="K42" s="0" t="inlineStr">
        <is>
          <t xml:space="preserve">16:00</t>
        </is>
      </c>
      <c r="L42" s="9">
        <v>9</v>
      </c>
      <c r="M42" s="9">
        <v>9</v>
      </c>
      <c r="N42" s="6"/>
      <c r="O42" s="10">
        <f>IF(N42&lt;&gt;"",N42,M42)</f>
      </c>
      <c r="P42" s="4">
        <v>690.63</v>
      </c>
      <c r="Q42" s="7"/>
      <c r="R42" s="5">
        <f>IF(Q42&lt;&gt;"",Q42,IF(N42&lt;&gt;"",IF(M42&gt;0,ROUND(P42*N42/M42,2),0),P42))</f>
      </c>
      <c r="S42" s="9">
        <v>81.25</v>
      </c>
      <c r="T42" s="0" t="inlineStr">
        <is>
          <t xml:space="preserve">Warehouse: 9 h − 0.5 h staff meeting 07:00–07:30 (unpaid, R40,63) = 8.5 h × R81,25</t>
        </is>
      </c>
      <c r="U42" s="6"/>
      <c r="V42" s="0" t="inlineStr">
        <is>
          <t xml:space="preserve">#10129</t>
        </is>
      </c>
    </row>
    <row r="43">
      <c r="A43" s="0">
        <v>9855</v>
      </c>
      <c r="B43" s="0" t="inlineStr">
        <is>
          <t xml:space="preserve">John Simbarashe Mhlanga</t>
        </is>
      </c>
      <c r="C43" s="0" t="inlineStr">
        <is>
          <t xml:space="preserve">2026-09-16</t>
        </is>
      </c>
      <c r="D43" s="0" t="inlineStr">
        <is>
          <t xml:space="preserve">Wednesday</t>
        </is>
      </c>
      <c r="E43" s="0" t="inlineStr">
        <is>
          <t xml:space="preserve">YES</t>
        </is>
      </c>
      <c r="F43" s="0" t="inlineStr">
        <is>
          <t xml:space="preserve">Botanical gardens event day</t>
        </is>
      </c>
      <c r="G43" s="0" t="inlineStr">
        <is>
          <t xml:space="preserve">Pretoria</t>
        </is>
      </c>
      <c r="H43" s="0" t="inlineStr">
        <is>
          <t xml:space="preserve">Running the event at botanical Gardens</t>
        </is>
      </c>
      <c r="I43" s="0" t="inlineStr">
        <is>
          <t xml:space="preserve">Normal</t>
        </is>
      </c>
      <c r="J43" s="0" t="inlineStr">
        <is>
          <t xml:space="preserve">07:00</t>
        </is>
      </c>
      <c r="K43" s="0" t="inlineStr">
        <is>
          <t xml:space="preserve">16:00</t>
        </is>
      </c>
      <c r="L43" s="9">
        <v>9</v>
      </c>
      <c r="M43" s="9">
        <v>0</v>
      </c>
      <c r="N43" s="6"/>
      <c r="O43" s="10">
        <f>IF(N43&lt;&gt;"",N43,M43)</f>
      </c>
      <c r="P43" s="4">
        <v>105</v>
      </c>
      <c r="Q43" s="7"/>
      <c r="R43" s="5">
        <f>IF(Q43&lt;&gt;"",Q43,IF(N43&lt;&gt;"",IF(M43&gt;0,ROUND(P43*N43/M43,2),0),P43))</f>
      </c>
      <c r="S43" s="9">
        <v>95</v>
      </c>
      <c r="T43" s="0" t="inlineStr">
        <is>
          <t xml:space="preserve">OWNER CORRECTION: Owner 23 Sep: Wed 16 Sep Botanical 07–16 already paid R750 in payroll 12–18 Sep (shift #9766). Only the rate correction to venue R95 is due: 9 h × R95 = R855 − R750 = R105</t>
        </is>
      </c>
      <c r="U43" s="6"/>
      <c r="V43" s="0" t="inlineStr">
        <is>
          <t xml:space="preserve">#10132</t>
        </is>
      </c>
      <c r="W43" s="0" t="inlineStr">
        <is>
          <t xml:space="preserve">OVERLAP: already paid 07:00–16:00 (Botanical gardens event day, R750,00, payroll n/a) on this day. | #10122 Manual overlap review: the same employee has another overlapping entry on 2026-09-16 for 07:00-16:00. | #10132 ALREADY PAID — WRONG RATE: John was paid Wed 16 Sep 2026 07:00–16:00 · Botanical gardens event day (Pretoria) · Normal · "Running the event at botanical Gardens" · 9.00 h × R90,00 = R750,00 (payroll 2026-09-12). He now claims 07:00–16:00 · Botanical gardens event day (Pretoria) · Normal · "Running the event at botanical Gardens" · 9.00 h for the same day. Same work type, but the rate paid (R90,00/h) differs from the rule (R95,00/h). • Rate correction on the paid hours 07:00–16:00: 9.00 h — worth R855,00 at the correct rule, R750,00 was paid → +R105,00 Still due: R105,00 (full day 9.00 h at the correct rule = R855,00 − R750,00 already paid). Hours from Wednesday onwards are estimated for the auditor run; this entry corrects them. Bernie to approve — nothing has been changed. System recommended 0.00 h.</t>
        </is>
      </c>
      <c r="X43" s="0" t="inlineStr">
        <is>
          <t xml:space="preserve">#10122 DECIDED 0.00 h by Bernie Burness 2026-09-23 08:53: ALREADY BILLED Wednesday 2026-09-16 · 07:00–16:00 · 9.00 h Normal · Botanical gardens event day · Running the event at botanical Gardens R750,00 · shift #9766 · PAID in payroll 2026-09-12 → 2026-09-18 (closed) | #10132 DECIDED 0.00 h by Bernie Burness 2026-09-23 08:56: Already paid — WRONG RATE — R105,00 still due — approved amount R105,00</t>
        </is>
      </c>
    </row>
    <row r="44">
      <c r="A44" s="0">
        <v>9779</v>
      </c>
      <c r="B44" s="0" t="inlineStr">
        <is>
          <t xml:space="preserve">John Simbarashe Mhlanga</t>
        </is>
      </c>
      <c r="C44" s="0" t="inlineStr">
        <is>
          <t xml:space="preserve">2026-09-17</t>
        </is>
      </c>
      <c r="D44" s="0" t="inlineStr">
        <is>
          <t xml:space="preserve">Thursday</t>
        </is>
      </c>
      <c r="E44" s="0" t="inlineStr">
        <is>
          <t xml:space="preserve">YES</t>
        </is>
      </c>
      <c r="F44" s="0" t="inlineStr">
        <is>
          <t xml:space="preserve">Music Bus</t>
        </is>
      </c>
      <c r="G44" s="0" t="inlineStr">
        <is>
          <t xml:space="preserve">Thembisa</t>
        </is>
      </c>
      <c r="H44" s="0" t="inlineStr">
        <is>
          <t xml:space="preserve">Missed shifts from Thursday doing music bus in Thembisa where there was a trade visit</t>
        </is>
      </c>
      <c r="I44" s="0" t="inlineStr">
        <is>
          <t xml:space="preserve">Music Bus</t>
        </is>
      </c>
      <c r="J44" s="0" t="inlineStr">
        <is>
          <t xml:space="preserve">15:00</t>
        </is>
      </c>
      <c r="K44" s="0" t="inlineStr">
        <is>
          <t xml:space="preserve">20:00</t>
        </is>
      </c>
      <c r="L44" s="9">
        <v>5</v>
      </c>
      <c r="M44" s="9">
        <v>4</v>
      </c>
      <c r="N44" s="6"/>
      <c r="O44" s="10">
        <f>IF(N44&lt;&gt;"",N44,M44)</f>
      </c>
      <c r="P44" s="4">
        <v>480</v>
      </c>
      <c r="Q44" s="7"/>
      <c r="R44" s="5">
        <f>IF(Q44&lt;&gt;"",Q44,IF(N44&lt;&gt;"",IF(M44&gt;0,ROUND(P44*N44/M44,2),0),P44))</f>
      </c>
      <c r="S44" s="9">
        <v>120</v>
      </c>
      <c r="T44" s="0" t="inlineStr">
        <is>
          <t xml:space="preserve">OWNER CORRECTION: Already paid 07:00–16:00 (FNB, shift #9767). Only 16:00–20:00 = 4 h × R120 Music Bus = R480,00</t>
        </is>
      </c>
      <c r="U44" s="6"/>
      <c r="V44" s="0" t="inlineStr">
        <is>
          <t xml:space="preserve">#10069</t>
        </is>
      </c>
      <c r="W44" s="0" t="inlineStr">
        <is>
          <t xml:space="preserve">OVERLAP: already paid 07:00–16:00 (FNB Stadium, R750,00, payroll n/a) on this day. | #9972 Manual overlap review: the same employee has another overlapping entry on 2026-09-17 for 15:00-20:00. | #10069 ALREADY PAID — EXTRA HOURS: John was paid Thu 17 Sep 2026 07:00–16:00 · FNB Stadium (Jhb) · Normal · "Setting up" · 9.00 h × R90,00 = R750,00 (payroll 2026-09-12). He now claims 15:00–20:00 · Music Bus (Thembisa) · Music Bus · "Missed shifts from Thursday doing music bus in Thembisa where there was a trade visit" · 5.00 h for the same day. Work type changed: Normal → Music Bus (rate R90,00 → R120,00). • Extra hours 16:00–20:00: 4.00 h → R480,00 Still due: R480,00 (full day 5.00 h at the correct rule = R1 230,00 − R750,00 already paid). Hours from Wednesday onwards are estimated for the auditor run; this entry corrects them. Bernie to approve — nothing has been changed. System recommended 4.00 h.</t>
        </is>
      </c>
      <c r="X44" s="0" t="inlineStr">
        <is>
          <t xml:space="preserve">#9972 DECIDED 4.00 h by Bernie Burness 2026-09-23 08:56: ALREADY BILLED Thursday 2026-09-17 · 07:00–16:00 · 9.00 h Normal · FNB Stadium · Setting up R750,00 · shift #9767 · PAID in payroll 2026-09-12 → 2026-09-18 (closed) | #10069 DECIDED 4.00 h by Bernie Burness 2026-09-23 09:03: Already paid — EXTRA HOURS — R480,00 still due — approved amount R480,00</t>
        </is>
      </c>
    </row>
    <row r="45">
      <c r="A45" s="0">
        <v>9781</v>
      </c>
      <c r="B45" s="0" t="inlineStr">
        <is>
          <t xml:space="preserve">John Simbarashe Mhlanga</t>
        </is>
      </c>
      <c r="C45" s="0" t="inlineStr">
        <is>
          <t xml:space="preserve">2026-09-21</t>
        </is>
      </c>
      <c r="D45" s="0" t="inlineStr">
        <is>
          <t xml:space="preserve">Monday</t>
        </is>
      </c>
      <c r="F45" s="0" t="inlineStr">
        <is>
          <t xml:space="preserve">FNB Stadium</t>
        </is>
      </c>
      <c r="G45" s="0" t="inlineStr">
        <is>
          <t xml:space="preserve">Soweto jhb</t>
        </is>
      </c>
      <c r="H45" s="0" t="inlineStr">
        <is>
          <t xml:space="preserve">Strike down</t>
        </is>
      </c>
      <c r="I45" s="0" t="inlineStr">
        <is>
          <t xml:space="preserve">Normal</t>
        </is>
      </c>
      <c r="J45" s="0" t="inlineStr">
        <is>
          <t xml:space="preserve">07:00</t>
        </is>
      </c>
      <c r="K45" s="0" t="inlineStr">
        <is>
          <t xml:space="preserve">16:00</t>
        </is>
      </c>
      <c r="L45" s="9">
        <v>9</v>
      </c>
      <c r="M45" s="9">
        <v>0</v>
      </c>
      <c r="N45" s="6"/>
      <c r="O45" s="10">
        <f>IF(N45&lt;&gt;"",N45,M45)</f>
      </c>
      <c r="P45" s="4">
        <v>855</v>
      </c>
      <c r="Q45" s="7"/>
      <c r="R45" s="5">
        <f>IF(Q45&lt;&gt;"",Q45,IF(N45&lt;&gt;"",IF(M45&gt;0,ROUND(P45*N45/M45,2),0),P45))</f>
      </c>
      <c r="S45" s="9">
        <v>95</v>
      </c>
      <c r="T45" s="0" t="inlineStr">
        <is>
          <t xml:space="preserve">OWNER CORRECTION: Owner 23 Sep: Mon 21 Sep FNB Stadium 07–16 — the ONE shift he worked; the second copy (#9857) is zeroed. 9 h × R95 = R855</t>
        </is>
      </c>
      <c r="U45" s="6"/>
      <c r="V45" s="0" t="inlineStr">
        <is>
          <t xml:space="preserve">#10131</t>
        </is>
      </c>
      <c r="W45" s="0" t="inlineStr">
        <is>
          <t xml:space="preserve">#10131 ALREADY PAID — SAME SHIFT AGAIN (duplicate): John was paid Mon 21 Sep 2026 07:00–16:00 · FNB Stadium (Soweto jhb) · Normal · "Strike down" · 9.00 h × R95,00 = R855,00 (payroll 2026-09-19). He now claims 07:00–16:00 · FNB Stadium (Soweto jhb) · Normal · "Strike down" · 9.00 h for the same day. Every hour of this claim is already paid. Nothing is due: R0,00. Hours from Wednesday onwards are estimated for the auditor run; this entry corrects them. Bernie to approve — nothing has been changed. System recommended 0.00 h.</t>
        </is>
      </c>
      <c r="X45" s="0" t="inlineStr">
        <is>
          <t xml:space="preserve">#10131 DECIDED 0.00 h by Bernie Burness 2026-09-23 09:03: Already paid — SAME SHIFT AGAIN (duplicate) — R0,00 still due — approved amount R0,00</t>
        </is>
      </c>
    </row>
    <row r="46">
      <c r="A46" s="0">
        <v>9857</v>
      </c>
      <c r="B46" s="0" t="inlineStr">
        <is>
          <t xml:space="preserve">John Simbarashe Mhlanga</t>
        </is>
      </c>
      <c r="C46" s="0" t="inlineStr">
        <is>
          <t xml:space="preserve">2026-09-21</t>
        </is>
      </c>
      <c r="D46" s="0" t="inlineStr">
        <is>
          <t xml:space="preserve">Monday</t>
        </is>
      </c>
      <c r="F46" s="0" t="inlineStr">
        <is>
          <t xml:space="preserve">FNB Stadium</t>
        </is>
      </c>
      <c r="G46" s="0" t="inlineStr">
        <is>
          <t xml:space="preserve">Soweto jhb</t>
        </is>
      </c>
      <c r="H46" s="0" t="inlineStr">
        <is>
          <t xml:space="preserve">Strike down</t>
        </is>
      </c>
      <c r="I46" s="0" t="inlineStr">
        <is>
          <t xml:space="preserve">Normal</t>
        </is>
      </c>
      <c r="J46" s="0" t="inlineStr">
        <is>
          <t xml:space="preserve">07:00</t>
        </is>
      </c>
      <c r="K46" s="0" t="inlineStr">
        <is>
          <t xml:space="preserve">16:00</t>
        </is>
      </c>
      <c r="L46" s="9">
        <v>9</v>
      </c>
      <c r="M46" s="9">
        <v>0</v>
      </c>
      <c r="N46" s="6"/>
      <c r="O46" s="10">
        <f>IF(N46&lt;&gt;"",N46,M46)</f>
      </c>
      <c r="P46" s="4">
        <v>0</v>
      </c>
      <c r="Q46" s="7"/>
      <c r="R46" s="5">
        <f>IF(Q46&lt;&gt;"",Q46,IF(N46&lt;&gt;"",IF(M46&gt;0,ROUND(P46*N46/M46,2),0),P46))</f>
      </c>
      <c r="S46" s="9">
        <v>95</v>
      </c>
      <c r="T46" s="0" t="inlineStr">
        <is>
          <t xml:space="preserve">OWNER CORRECTION: Duplicate of #9781 (Mon 21 Sep FNB 07–16) — R0</t>
        </is>
      </c>
      <c r="U46" s="6"/>
      <c r="V46" s="0" t="inlineStr">
        <is>
          <t xml:space="preserve">#10126</t>
        </is>
      </c>
      <c r="W46" s="0" t="inlineStr">
        <is>
          <t xml:space="preserve">#10072 ALREADY PAID — SAME SHIFT AGAIN (duplicate): John was paid Mon 21 Sep 2026 07:00–16:00 · FNB Stadium (Soweto jhb) · Normal · "Strike down" · 9.00 h × R95,00 = R855,00 (payroll 2026-09-19). He now claims 07:00–16:00 · FNB Stadium (Soweto jhb) · Normal · "Strike down" · 9.00 h for the same day. Every hour of this claim is already paid. Nothing is due: R0,00. Hours from Wednesday onwards are estimated for the auditor run; this entry corrects them. Bernie to approve — nothing has been changed. System recommended 0.00 h. | #10126 Manual overlap review: the same employee has another overlapping entry on 2026-09-21 for 07:00-16:00.</t>
        </is>
      </c>
      <c r="X46" s="0" t="inlineStr">
        <is>
          <t xml:space="preserve">#10072 DECIDED 0.00 h by Bernie Burness 2026-09-23 09:01: Already paid — SAME SHIFT AGAIN (duplicate) — R0,00 still due — approved amount R0,00 | #10126 DECIDED 0.00 h by Bernie Burness 2026-09-23 09:06: ALREADY BILLED Monday 2026-09-21 · 07:00–16:00 · 9.00 h Normal · FNB Stadium · Strike down R855,00 · shift #9857 · in THIS payroll (2026-09-19 → 2026-09-25, not yet paid)</t>
        </is>
      </c>
    </row>
    <row r="47">
      <c r="A47" s="0">
        <v>9783</v>
      </c>
      <c r="B47" s="0" t="inlineStr">
        <is>
          <t xml:space="preserve">John Simbarashe Mhlanga</t>
        </is>
      </c>
      <c r="C47" s="0" t="inlineStr">
        <is>
          <t xml:space="preserve">2026-09-22</t>
        </is>
      </c>
      <c r="D47" s="0" t="inlineStr">
        <is>
          <t xml:space="preserve">Tuesday</t>
        </is>
      </c>
      <c r="F47" s="0" t="inlineStr">
        <is>
          <t xml:space="preserve">Warehouse</t>
        </is>
      </c>
      <c r="G47" s="0" t="inlineStr">
        <is>
          <t xml:space="preserve">Henly on klip meyerton</t>
        </is>
      </c>
      <c r="H47" s="0" t="inlineStr">
        <is>
          <t xml:space="preserve">Loading and cleaning the warehouse</t>
        </is>
      </c>
      <c r="I47" s="0" t="inlineStr">
        <is>
          <t xml:space="preserve">Normal</t>
        </is>
      </c>
      <c r="J47" s="0" t="inlineStr">
        <is>
          <t xml:space="preserve">07:00</t>
        </is>
      </c>
      <c r="K47" s="0" t="inlineStr">
        <is>
          <t xml:space="preserve">16:00</t>
        </is>
      </c>
      <c r="L47" s="9">
        <v>9</v>
      </c>
      <c r="M47" s="9">
        <v>9</v>
      </c>
      <c r="N47" s="6"/>
      <c r="O47" s="10">
        <f>IF(N47&lt;&gt;"",N47,M47)</f>
      </c>
      <c r="P47" s="4">
        <v>690.63</v>
      </c>
      <c r="Q47" s="7"/>
      <c r="R47" s="5">
        <f>IF(Q47&lt;&gt;"",Q47,IF(N47&lt;&gt;"",IF(M47&gt;0,ROUND(P47*N47/M47,2),0),P47))</f>
      </c>
      <c r="S47" s="9">
        <v>81.25</v>
      </c>
      <c r="T47" s="0" t="inlineStr">
        <is>
          <t xml:space="preserve">Warehouse: 9 h − 0.5 h staff meeting 07:00–07:30 (unpaid, R40,63) = 8.5 h × R81,25</t>
        </is>
      </c>
      <c r="U47" s="6"/>
      <c r="V47" s="0" t="inlineStr">
        <is>
          <t xml:space="preserve">#9983</t>
        </is>
      </c>
    </row>
    <row r="48">
      <c r="A48" s="0">
        <v>9845</v>
      </c>
      <c r="B48" s="0" t="inlineStr">
        <is>
          <t xml:space="preserve">John Simbarashe Mhlanga</t>
        </is>
      </c>
      <c r="C48" s="0" t="inlineStr">
        <is>
          <t xml:space="preserve">2026-09-23</t>
        </is>
      </c>
      <c r="D48" s="0" t="inlineStr">
        <is>
          <t xml:space="preserve">Wednesday</t>
        </is>
      </c>
      <c r="F48" s="0" t="inlineStr">
        <is>
          <t xml:space="preserve">Work with the Team</t>
        </is>
      </c>
      <c r="G48" s="0" t="inlineStr">
        <is>
          <t xml:space="preserve">Sandton</t>
        </is>
      </c>
      <c r="H48" s="0" t="inlineStr">
        <is>
          <t xml:space="preserve">Went to fetch prizes at waltloo depot in pretoria and went to assist the team in setting up Victor’s event</t>
        </is>
      </c>
      <c r="I48" s="0" t="inlineStr">
        <is>
          <t xml:space="preserve">Normal</t>
        </is>
      </c>
      <c r="J48" s="0" t="inlineStr">
        <is>
          <t xml:space="preserve">07:00</t>
        </is>
      </c>
      <c r="K48" s="0" t="inlineStr">
        <is>
          <t xml:space="preserve">16:00</t>
        </is>
      </c>
      <c r="L48" s="9">
        <v>9</v>
      </c>
      <c r="M48" s="9">
        <v>9</v>
      </c>
      <c r="N48" s="6"/>
      <c r="O48" s="10">
        <f>IF(N48&lt;&gt;"",N48,M48)</f>
      </c>
      <c r="P48" s="4">
        <v>855</v>
      </c>
      <c r="Q48" s="7"/>
      <c r="R48" s="5">
        <f>IF(Q48&lt;&gt;"",Q48,IF(N48&lt;&gt;"",IF(M48&gt;0,ROUND(P48*N48/M48,2),0),P48))</f>
      </c>
      <c r="S48" s="9">
        <v>95</v>
      </c>
      <c r="T48" s="0" t="inlineStr">
        <is>
          <t xml:space="preserve">Venue/event: 9 h × R95</t>
        </is>
      </c>
      <c r="U48" s="6"/>
    </row>
    <row r="49">
      <c r="A49" s="0">
        <v>9846</v>
      </c>
      <c r="B49" s="0" t="inlineStr">
        <is>
          <t xml:space="preserve">John Simbarashe Mhlanga</t>
        </is>
      </c>
      <c r="C49" s="0" t="inlineStr">
        <is>
          <t xml:space="preserve">2026-09-24</t>
        </is>
      </c>
      <c r="D49" s="0" t="inlineStr">
        <is>
          <t xml:space="preserve">Thursday</t>
        </is>
      </c>
      <c r="F49" s="0" t="inlineStr">
        <is>
          <t xml:space="preserve">Warehouse</t>
        </is>
      </c>
      <c r="G49" s="0" t="inlineStr">
        <is>
          <t xml:space="preserve">Henly on klip meyerton</t>
        </is>
      </c>
      <c r="H49" s="0" t="inlineStr">
        <is>
          <t xml:space="preserve">Loading the trucks</t>
        </is>
      </c>
      <c r="I49" s="0" t="inlineStr">
        <is>
          <t xml:space="preserve">Normal</t>
        </is>
      </c>
      <c r="J49" s="0" t="inlineStr">
        <is>
          <t xml:space="preserve">07:00</t>
        </is>
      </c>
      <c r="K49" s="0" t="inlineStr">
        <is>
          <t xml:space="preserve">12:00</t>
        </is>
      </c>
      <c r="L49" s="9">
        <v>5</v>
      </c>
      <c r="M49" s="9">
        <v>5</v>
      </c>
      <c r="N49" s="6"/>
      <c r="O49" s="10">
        <f>IF(N49&lt;&gt;"",N49,M49)</f>
      </c>
      <c r="P49" s="4">
        <v>731.25</v>
      </c>
      <c r="Q49" s="7"/>
      <c r="R49" s="5">
        <f>IF(Q49&lt;&gt;"",Q49,IF(N49&lt;&gt;"",IF(M49&gt;0,ROUND(P49*N49/M49,2),0),P49))</f>
      </c>
      <c r="S49" s="9">
        <v>162.5</v>
      </c>
      <c r="T49" s="0" t="inlineStr">
        <is>
          <t xml:space="preserve">Public holiday (Heritage Day) approved R731,25 by Bernie Burness (#10144) — Warehouse public holiday (Heritage Day): 5 h − 0.5 h staff meeting 07:00–07:30 (unpaid) = 4.5 h × R162,50 (R81,25 × 2) = R731,25</t>
        </is>
      </c>
      <c r="U49" s="6"/>
      <c r="V49" s="0" t="inlineStr">
        <is>
          <t xml:space="preserve">#10092</t>
        </is>
      </c>
      <c r="W49" s="0" t="inlineStr">
        <is>
          <t xml:space="preserve">#10144 Public holiday (Heritage Day) — owner to approve or decline: PUBLIC HOLIDAY — Heritage Day (24 Sep 2026): John Simbarashe Mhlanga worked 07:00–12:00. Held for owner approval.</t>
        </is>
      </c>
      <c r="X49" s="0" t="inlineStr">
        <is>
          <t xml:space="preserve">#10144 DECIDED 4.50 h by Bernie Burness 2026-09-23 10:31: Public holiday (Heritage Day) approved by Bernie Burness 23 Sep at the holiday rate: Warehouse public holiday (Heritage Day): 5 h − 0.5 h staff meeting 07:00–07:30 (unpaid) = 4.5 h × R162,50 (R81,25 × 2) = R731,25</t>
        </is>
      </c>
    </row>
    <row r="50">
      <c r="A50" s="0">
        <v>9847</v>
      </c>
      <c r="B50" s="0" t="inlineStr">
        <is>
          <t xml:space="preserve">John Simbarashe Mhlanga</t>
        </is>
      </c>
      <c r="C50" s="0" t="inlineStr">
        <is>
          <t xml:space="preserve">2026-09-24</t>
        </is>
      </c>
      <c r="D50" s="0" t="inlineStr">
        <is>
          <t xml:space="preserve">Thursday</t>
        </is>
      </c>
      <c r="F50" s="0" t="inlineStr">
        <is>
          <t xml:space="preserve">Music Bus</t>
        </is>
      </c>
      <c r="G50" s="0" t="inlineStr">
        <is>
          <t xml:space="preserve">Soweto</t>
        </is>
      </c>
      <c r="H50" s="0" t="inlineStr">
        <is>
          <t xml:space="preserve">Doing activations around Soweto area amd Randfontein</t>
        </is>
      </c>
      <c r="I50" s="0" t="inlineStr">
        <is>
          <t xml:space="preserve">Music Bus</t>
        </is>
      </c>
      <c r="J50" s="0" t="inlineStr">
        <is>
          <t xml:space="preserve">12:00</t>
        </is>
      </c>
      <c r="K50" s="0" t="inlineStr">
        <is>
          <t xml:space="preserve">18:00</t>
        </is>
      </c>
      <c r="L50" s="9">
        <v>6</v>
      </c>
      <c r="M50" s="9">
        <v>6</v>
      </c>
      <c r="N50" s="6"/>
      <c r="O50" s="10">
        <f>IF(N50&lt;&gt;"",N50,M50)</f>
      </c>
      <c r="P50" s="4">
        <v>1110</v>
      </c>
      <c r="Q50" s="7"/>
      <c r="R50" s="5">
        <f>IF(Q50&lt;&gt;"",Q50,IF(N50&lt;&gt;"",IF(M50&gt;0,ROUND(P50*N50/M50,2),0),P50))</f>
      </c>
      <c r="S50" s="9">
        <v>180</v>
      </c>
      <c r="T50" s="0" t="inlineStr">
        <is>
          <t xml:space="preserve">Public holiday (Heritage Day) approved R1 110,00 by Bernie Burness (#10095) — Music Bus public holiday (Heritage Day): R750 fixed 07–16 + 2 h outside 07–16 × R180 = R1 110,00</t>
        </is>
      </c>
      <c r="U50" s="6"/>
      <c r="W50" s="0" t="inlineStr">
        <is>
          <t xml:space="preserve">#10095 Public holiday (Heritage Day) — owner to approve or decline: PUBLIC HOLIDAY — OWNER APPROVAL NEEDED: John Simbarashe Mhlanga worked 12:00–18:00 on 2026-09-24 (Heritage Day) at Music Bus (Music Bus). Public-holiday work is not paid automatically. Recommended: Music Bus public holiday (Heritage Day): R750 fixed 07–16 + 2 h outside 07–16 × R180 = R1 110,00. R0 is paid until the owner approves or declines.</t>
        </is>
      </c>
      <c r="X50" s="0" t="inlineStr">
        <is>
          <t xml:space="preserve">#10095 DECIDED 6.00 h by Bernie Burness 2026-09-23 09:05: Public holiday (Heritage Day) approved — R1 110,00 (as recommended)</t>
        </is>
      </c>
    </row>
    <row r="51">
      <c r="A51" s="0">
        <v>9848</v>
      </c>
      <c r="B51" s="0" t="inlineStr">
        <is>
          <t xml:space="preserve">John Simbarashe Mhlanga</t>
        </is>
      </c>
      <c r="C51" s="0" t="inlineStr">
        <is>
          <t xml:space="preserve">2026-09-25</t>
        </is>
      </c>
      <c r="D51" s="0" t="inlineStr">
        <is>
          <t xml:space="preserve">Friday</t>
        </is>
      </c>
      <c r="F51" s="0" t="inlineStr">
        <is>
          <t xml:space="preserve">Warehouse</t>
        </is>
      </c>
      <c r="G51" s="0" t="inlineStr">
        <is>
          <t xml:space="preserve">Henly on klip</t>
        </is>
      </c>
      <c r="H51" s="0" t="inlineStr">
        <is>
          <t xml:space="preserve">Working with the team</t>
        </is>
      </c>
      <c r="I51" s="0" t="inlineStr">
        <is>
          <t xml:space="preserve">Normal</t>
        </is>
      </c>
      <c r="J51" s="0" t="inlineStr">
        <is>
          <t xml:space="preserve">07:00</t>
        </is>
      </c>
      <c r="K51" s="0" t="inlineStr">
        <is>
          <t xml:space="preserve">11:00</t>
        </is>
      </c>
      <c r="L51" s="9">
        <v>4</v>
      </c>
      <c r="M51" s="9">
        <v>4</v>
      </c>
      <c r="N51" s="6"/>
      <c r="O51" s="10">
        <f>IF(N51&lt;&gt;"",N51,M51)</f>
      </c>
      <c r="P51" s="4">
        <v>284.38</v>
      </c>
      <c r="Q51" s="7"/>
      <c r="R51" s="5">
        <f>IF(Q51&lt;&gt;"",Q51,IF(N51&lt;&gt;"",IF(M51&gt;0,ROUND(P51*N51/M51,2),0),P51))</f>
      </c>
      <c r="S51" s="9">
        <v>81.25</v>
      </c>
      <c r="T51" s="0" t="inlineStr">
        <is>
          <t xml:space="preserve">Warehouse: 4 h − 0.5 h staff meeting 07:00–07:30 (unpaid, R40,63) = 3.5 h × R81,25</t>
        </is>
      </c>
      <c r="U51" s="6"/>
      <c r="V51" s="0" t="inlineStr">
        <is>
          <t xml:space="preserve">#10098</t>
        </is>
      </c>
    </row>
    <row r="52">
      <c r="A52" s="0">
        <v>9849</v>
      </c>
      <c r="B52" s="0" t="inlineStr">
        <is>
          <t xml:space="preserve">John Simbarashe Mhlanga</t>
        </is>
      </c>
      <c r="C52" s="0" t="inlineStr">
        <is>
          <t xml:space="preserve">2026-09-25</t>
        </is>
      </c>
      <c r="D52" s="0" t="inlineStr">
        <is>
          <t xml:space="preserve">Friday</t>
        </is>
      </c>
      <c r="F52" s="0" t="inlineStr">
        <is>
          <t xml:space="preserve">Music Bus</t>
        </is>
      </c>
      <c r="G52" s="0" t="inlineStr">
        <is>
          <t xml:space="preserve">Soweto</t>
        </is>
      </c>
      <c r="H52" s="0" t="inlineStr">
        <is>
          <t xml:space="preserve">Music bus activations</t>
        </is>
      </c>
      <c r="I52" s="0" t="inlineStr">
        <is>
          <t xml:space="preserve">Music Bus</t>
        </is>
      </c>
      <c r="J52" s="0" t="inlineStr">
        <is>
          <t xml:space="preserve">11:00</t>
        </is>
      </c>
      <c r="K52" s="0" t="inlineStr">
        <is>
          <t xml:space="preserve">21:00</t>
        </is>
      </c>
      <c r="L52" s="9">
        <v>10</v>
      </c>
      <c r="M52" s="9">
        <v>10</v>
      </c>
      <c r="N52" s="6"/>
      <c r="O52" s="10">
        <f>IF(N52&lt;&gt;"",N52,M52)</f>
      </c>
      <c r="P52" s="4">
        <v>1350</v>
      </c>
      <c r="Q52" s="7"/>
      <c r="R52" s="5">
        <f>IF(Q52&lt;&gt;"",Q52,IF(N52&lt;&gt;"",IF(M52&gt;0,ROUND(P52*N52/M52,2),0),P52))</f>
      </c>
      <c r="S52" s="9">
        <v>120</v>
      </c>
      <c r="T52" s="0" t="inlineStr">
        <is>
          <t xml:space="preserve">Music Bus: R750 fixed 07–16 + 5 h outside × R120</t>
        </is>
      </c>
      <c r="U52" s="6"/>
    </row>
    <row r="53">
      <c r="A53" s="0">
        <v>9852</v>
      </c>
      <c r="B53" s="0" t="inlineStr">
        <is>
          <t xml:space="preserve">Joshua Motsamai Nteo</t>
        </is>
      </c>
      <c r="C53" s="0" t="inlineStr">
        <is>
          <t xml:space="preserve">2026-09-13</t>
        </is>
      </c>
      <c r="D53" s="0" t="inlineStr">
        <is>
          <t xml:space="preserve">Sunday</t>
        </is>
      </c>
      <c r="E53" s="0" t="inlineStr">
        <is>
          <t xml:space="preserve">YES</t>
        </is>
      </c>
      <c r="F53" s="0" t="inlineStr">
        <is>
          <t xml:space="preserve">Pastdal pretoria</t>
        </is>
      </c>
      <c r="G53" s="0" t="inlineStr">
        <is>
          <t xml:space="preserve">Pretoria</t>
        </is>
      </c>
      <c r="H53" s="0" t="inlineStr">
        <is>
          <t xml:space="preserve">Break down</t>
        </is>
      </c>
      <c r="I53" s="0" t="inlineStr">
        <is>
          <t xml:space="preserve">Normal</t>
        </is>
      </c>
      <c r="J53" s="0" t="inlineStr">
        <is>
          <t xml:space="preserve">07:00</t>
        </is>
      </c>
      <c r="K53" s="0" t="inlineStr">
        <is>
          <t xml:space="preserve">13:00</t>
        </is>
      </c>
      <c r="L53" s="9">
        <v>6</v>
      </c>
      <c r="M53" s="9">
        <v>0</v>
      </c>
      <c r="N53" s="6"/>
      <c r="O53" s="10">
        <f>IF(N53&lt;&gt;"",N53,M53)</f>
      </c>
      <c r="P53" s="4">
        <v>0</v>
      </c>
      <c r="Q53" s="7"/>
      <c r="R53" s="5">
        <f>IF(Q53&lt;&gt;"",Q53,IF(N53&lt;&gt;"",IF(M53&gt;0,ROUND(P53*N53/M53,2),0),P53))</f>
      </c>
      <c r="S53" s="9">
        <v>114</v>
      </c>
      <c r="T53" s="0" t="inlineStr">
        <is>
          <t xml:space="preserve">OWNER CORRECTION: Already paid last week (shift #9638 R720). R0.</t>
        </is>
      </c>
      <c r="U53" s="6"/>
      <c r="V53" s="0" t="inlineStr">
        <is>
          <t xml:space="preserve">#10113</t>
        </is>
      </c>
      <c r="W53" s="0" t="inlineStr">
        <is>
          <t xml:space="preserve">OVERLAP: already paid 07:00–13:00 (Pastdal pub, R720,00, payroll n/a) on this day. | #10109 Manual overlap review: the same employee has another overlapping entry on 2026-09-13 for 07:00-13:00. | #10113 ALREADY PAID — this claim is covered by what was paid: Joshua was paid Sun 13 Sep 2026 07:00–13:00 · Pastdal pub (Pretoria) · Normal · "Strikedown" · 6.00 h × R120,00 = R720,00 (payroll 2026-09-12). He now claims 07:00–13:00 · Pastdal pretoria (Pretoria) · Normal · "Break down" · 6.00 h for the same day. Same work type, but the rate paid (R120,00/h) differs from the rule (R114,00/h). • Rate correction on the paid hours 07:00–13:00: 6.00 h — worth R684,00 at the correct rule, R720,00 was paid → −R36,00 What was paid (R720,00) already covers this claim (R684,00 at the correct rule). Nothing more is due: R0,00. Hours from Wednesday onwards are estimated for the auditor run; this entry corrects them. Bernie to approve — nothing has been changed. System recommended 0.00 h.</t>
        </is>
      </c>
      <c r="X53" s="0" t="inlineStr">
        <is>
          <t xml:space="preserve">#10109 DECIDED 0.00 h by Bernie Burness 2026-09-23 09:08: ALREADY BILLED Sunday 2026-09-13 · 07:00–13:00 · 6.00 h Normal · Pastdal pub · Strikedown R720,00 · shift #9638 · PAID in payroll 2026-09-12 → 2026-09-18 (closed) | #10113 DECIDED 0.00 h by Bernie Burness 2026-09-23 09:21: Already paid — this claim is covered by what was paid — R0,00 still due — approved amount R0,00</t>
        </is>
      </c>
    </row>
    <row r="54">
      <c r="A54" s="0">
        <v>9777</v>
      </c>
      <c r="B54" s="0" t="inlineStr">
        <is>
          <t xml:space="preserve">Joshua Motsamai Nteo</t>
        </is>
      </c>
      <c r="C54" s="0" t="inlineStr">
        <is>
          <t xml:space="preserve">2026-09-17</t>
        </is>
      </c>
      <c r="D54" s="0" t="inlineStr">
        <is>
          <t xml:space="preserve">Thursday</t>
        </is>
      </c>
      <c r="E54" s="0" t="inlineStr">
        <is>
          <t xml:space="preserve">YES</t>
        </is>
      </c>
      <c r="F54" s="0" t="inlineStr">
        <is>
          <t xml:space="preserve">Botanical gardens</t>
        </is>
      </c>
      <c r="G54" s="0" t="inlineStr">
        <is>
          <t xml:space="preserve">Pretoria</t>
        </is>
      </c>
      <c r="H54" s="0" t="inlineStr">
        <is>
          <t xml:space="preserve">Breakdown</t>
        </is>
      </c>
      <c r="I54" s="0" t="inlineStr">
        <is>
          <t xml:space="preserve">Normal</t>
        </is>
      </c>
      <c r="J54" s="0" t="inlineStr">
        <is>
          <t xml:space="preserve">05:00</t>
        </is>
      </c>
      <c r="K54" s="0" t="inlineStr">
        <is>
          <t xml:space="preserve">07:00</t>
        </is>
      </c>
      <c r="L54" s="9">
        <v>2</v>
      </c>
      <c r="M54" s="9">
        <v>2</v>
      </c>
      <c r="N54" s="6"/>
      <c r="O54" s="10">
        <f>IF(N54&lt;&gt;"",N54,M54)</f>
      </c>
      <c r="P54" s="4">
        <v>190</v>
      </c>
      <c r="Q54" s="7"/>
      <c r="R54" s="5">
        <f>IF(Q54&lt;&gt;"",Q54,IF(N54&lt;&gt;"",IF(M54&gt;0,ROUND(P54*N54/M54,2),0),P54))</f>
      </c>
      <c r="S54" s="9">
        <v>95</v>
      </c>
      <c r="T54" s="0" t="inlineStr">
        <is>
          <t xml:space="preserve">Venue/event: 2 h × R95</t>
        </is>
      </c>
      <c r="U54" s="6"/>
      <c r="W54" s="0" t="inlineStr">
        <is>
          <t xml:space="preserve">CLEAR: worked 07:00–16:00 that day (paid in payroll n/a); these hours are outside those times.</t>
        </is>
      </c>
      <c r="X54" s="0" t="inlineStr">
        <is>
          <t xml:space="preserve">No review needed</t>
        </is>
      </c>
    </row>
    <row r="55">
      <c r="A55" s="0">
        <v>9776</v>
      </c>
      <c r="B55" s="0" t="inlineStr">
        <is>
          <t xml:space="preserve">Joshua Motsamai Nteo</t>
        </is>
      </c>
      <c r="C55" s="0" t="inlineStr">
        <is>
          <t xml:space="preserve">2026-09-17</t>
        </is>
      </c>
      <c r="D55" s="0" t="inlineStr">
        <is>
          <t xml:space="preserve">Thursday</t>
        </is>
      </c>
      <c r="E55" s="0" t="inlineStr">
        <is>
          <t xml:space="preserve">YES</t>
        </is>
      </c>
      <c r="F55" s="0" t="inlineStr">
        <is>
          <t xml:space="preserve">Fnb stadium</t>
        </is>
      </c>
      <c r="G55" s="0" t="inlineStr">
        <is>
          <t xml:space="preserve">JHB</t>
        </is>
      </c>
      <c r="H55" s="0" t="inlineStr">
        <is>
          <t xml:space="preserve">Setup</t>
        </is>
      </c>
      <c r="I55" s="0" t="inlineStr">
        <is>
          <t xml:space="preserve">Normal</t>
        </is>
      </c>
      <c r="J55" s="0" t="inlineStr">
        <is>
          <t xml:space="preserve">16:00</t>
        </is>
      </c>
      <c r="K55" s="0" t="inlineStr">
        <is>
          <t xml:space="preserve">18:30</t>
        </is>
      </c>
      <c r="L55" s="9">
        <v>2.5</v>
      </c>
      <c r="M55" s="9">
        <v>2.5</v>
      </c>
      <c r="N55" s="6"/>
      <c r="O55" s="10">
        <f>IF(N55&lt;&gt;"",N55,M55)</f>
      </c>
      <c r="P55" s="4">
        <v>237.5</v>
      </c>
      <c r="Q55" s="7"/>
      <c r="R55" s="5">
        <f>IF(Q55&lt;&gt;"",Q55,IF(N55&lt;&gt;"",IF(M55&gt;0,ROUND(P55*N55/M55,2),0),P55))</f>
      </c>
      <c r="S55" s="9">
        <v>95</v>
      </c>
      <c r="T55" s="0" t="inlineStr">
        <is>
          <t xml:space="preserve">Venue/event: 2.5 h × R95</t>
        </is>
      </c>
      <c r="U55" s="6"/>
      <c r="W55" s="0" t="inlineStr">
        <is>
          <t xml:space="preserve">CLEAR: worked 07:00–16:00 that day (paid in payroll n/a); these hours are outside those times.</t>
        </is>
      </c>
      <c r="X55" s="0" t="inlineStr">
        <is>
          <t xml:space="preserve">No review needed</t>
        </is>
      </c>
    </row>
    <row r="56">
      <c r="A56" s="0">
        <v>9775</v>
      </c>
      <c r="B56" s="0" t="inlineStr">
        <is>
          <t xml:space="preserve">Joshua Motsamai Nteo</t>
        </is>
      </c>
      <c r="C56" s="0" t="inlineStr">
        <is>
          <t xml:space="preserve">2026-09-21</t>
        </is>
      </c>
      <c r="D56" s="0" t="inlineStr">
        <is>
          <t xml:space="preserve">Monday</t>
        </is>
      </c>
      <c r="F56" s="0" t="inlineStr">
        <is>
          <t xml:space="preserve">Fnb stadium</t>
        </is>
      </c>
      <c r="G56" s="0" t="inlineStr">
        <is>
          <t xml:space="preserve">JHB</t>
        </is>
      </c>
      <c r="H56" s="0" t="inlineStr">
        <is>
          <t xml:space="preserve">Breakdown/collection</t>
        </is>
      </c>
      <c r="I56" s="0" t="inlineStr">
        <is>
          <t xml:space="preserve">Normal</t>
        </is>
      </c>
      <c r="J56" s="0" t="inlineStr">
        <is>
          <t xml:space="preserve">07:00</t>
        </is>
      </c>
      <c r="K56" s="0" t="inlineStr">
        <is>
          <t xml:space="preserve">16:00</t>
        </is>
      </c>
      <c r="L56" s="9">
        <v>9</v>
      </c>
      <c r="M56" s="9">
        <v>9</v>
      </c>
      <c r="N56" s="6"/>
      <c r="O56" s="10">
        <f>IF(N56&lt;&gt;"",N56,M56)</f>
      </c>
      <c r="P56" s="4">
        <v>855</v>
      </c>
      <c r="Q56" s="7"/>
      <c r="R56" s="5">
        <f>IF(Q56&lt;&gt;"",Q56,IF(N56&lt;&gt;"",IF(M56&gt;0,ROUND(P56*N56/M56,2),0),P56))</f>
      </c>
      <c r="S56" s="9">
        <v>95</v>
      </c>
      <c r="T56" s="0" t="inlineStr">
        <is>
          <t xml:space="preserve">Venue/event: 9 h × R95</t>
        </is>
      </c>
      <c r="U56" s="6"/>
    </row>
    <row r="57">
      <c r="A57" s="0">
        <v>9774</v>
      </c>
      <c r="B57" s="0" t="inlineStr">
        <is>
          <t xml:space="preserve">Joshua Motsamai Nteo</t>
        </is>
      </c>
      <c r="C57" s="0" t="inlineStr">
        <is>
          <t xml:space="preserve">2026-09-22</t>
        </is>
      </c>
      <c r="D57" s="0" t="inlineStr">
        <is>
          <t xml:space="preserve">Tuesday</t>
        </is>
      </c>
      <c r="F57" s="0" t="inlineStr">
        <is>
          <t xml:space="preserve">Warehouse</t>
        </is>
      </c>
      <c r="G57" s="0" t="inlineStr">
        <is>
          <t xml:space="preserve">Meyerton</t>
        </is>
      </c>
      <c r="H57" s="0" t="inlineStr">
        <is>
          <t xml:space="preserve">Loading for events</t>
        </is>
      </c>
      <c r="I57" s="0" t="inlineStr">
        <is>
          <t xml:space="preserve">Normal</t>
        </is>
      </c>
      <c r="J57" s="0" t="inlineStr">
        <is>
          <t xml:space="preserve">07:00</t>
        </is>
      </c>
      <c r="K57" s="0" t="inlineStr">
        <is>
          <t xml:space="preserve">16:00</t>
        </is>
      </c>
      <c r="L57" s="9">
        <v>9</v>
      </c>
      <c r="M57" s="9">
        <v>9</v>
      </c>
      <c r="N57" s="6"/>
      <c r="O57" s="10">
        <f>IF(N57&lt;&gt;"",N57,M57)</f>
      </c>
      <c r="P57" s="4">
        <v>690.63</v>
      </c>
      <c r="Q57" s="7"/>
      <c r="R57" s="5">
        <f>IF(Q57&lt;&gt;"",Q57,IF(N57&lt;&gt;"",IF(M57&gt;0,ROUND(P57*N57/M57,2),0),P57))</f>
      </c>
      <c r="S57" s="9">
        <v>81.25</v>
      </c>
      <c r="T57" s="0" t="inlineStr">
        <is>
          <t xml:space="preserve">Warehouse: 9 h − 0.5 h staff meeting 07:00–07:30 (unpaid, R40,63) = 8.5 h × R81,25</t>
        </is>
      </c>
      <c r="U57" s="6"/>
      <c r="V57" s="0" t="inlineStr">
        <is>
          <t xml:space="preserve">#9959</t>
        </is>
      </c>
    </row>
    <row r="58">
      <c r="A58" s="0">
        <v>9778</v>
      </c>
      <c r="B58" s="0" t="inlineStr">
        <is>
          <t xml:space="preserve">Joshua Motsamai Nteo</t>
        </is>
      </c>
      <c r="C58" s="0" t="inlineStr">
        <is>
          <t xml:space="preserve">2026-09-23</t>
        </is>
      </c>
      <c r="D58" s="0" t="inlineStr">
        <is>
          <t xml:space="preserve">Wednesday</t>
        </is>
      </c>
      <c r="F58" s="0" t="inlineStr">
        <is>
          <t xml:space="preserve">Warehouse</t>
        </is>
      </c>
      <c r="G58" s="0" t="inlineStr">
        <is>
          <t xml:space="preserve">Meyerton</t>
        </is>
      </c>
      <c r="H58" s="0" t="inlineStr">
        <is>
          <t xml:space="preserve">Cleaning warehouse</t>
        </is>
      </c>
      <c r="I58" s="0" t="inlineStr">
        <is>
          <t xml:space="preserve">Normal</t>
        </is>
      </c>
      <c r="J58" s="0" t="inlineStr">
        <is>
          <t xml:space="preserve">07:00</t>
        </is>
      </c>
      <c r="K58" s="0" t="inlineStr">
        <is>
          <t xml:space="preserve">16:00</t>
        </is>
      </c>
      <c r="L58" s="9">
        <v>9</v>
      </c>
      <c r="M58" s="9">
        <v>9</v>
      </c>
      <c r="N58" s="6"/>
      <c r="O58" s="10">
        <f>IF(N58&lt;&gt;"",N58,M58)</f>
      </c>
      <c r="P58" s="4">
        <v>690.63</v>
      </c>
      <c r="Q58" s="7"/>
      <c r="R58" s="5">
        <f>IF(Q58&lt;&gt;"",Q58,IF(N58&lt;&gt;"",IF(M58&gt;0,ROUND(P58*N58/M58,2),0),P58))</f>
      </c>
      <c r="S58" s="9">
        <v>81.25</v>
      </c>
      <c r="T58" s="0" t="inlineStr">
        <is>
          <t xml:space="preserve">Warehouse: 9 h − 0.5 h staff meeting 07:00–07:30 (unpaid, R40,63) = 8.5 h × R81,25</t>
        </is>
      </c>
      <c r="U58" s="6"/>
      <c r="V58" s="0" t="inlineStr">
        <is>
          <t xml:space="preserve">#9964</t>
        </is>
      </c>
    </row>
    <row r="59">
      <c r="A59" s="0">
        <v>9853</v>
      </c>
      <c r="B59" s="0" t="inlineStr">
        <is>
          <t xml:space="preserve">Joshua Motsamai Nteo</t>
        </is>
      </c>
      <c r="C59" s="0" t="inlineStr">
        <is>
          <t xml:space="preserve">2026-09-23</t>
        </is>
      </c>
      <c r="D59" s="0" t="inlineStr">
        <is>
          <t xml:space="preserve">Wednesday</t>
        </is>
      </c>
      <c r="F59" s="0" t="inlineStr">
        <is>
          <t xml:space="preserve">Warehouse</t>
        </is>
      </c>
      <c r="G59" s="0" t="inlineStr">
        <is>
          <t xml:space="preserve">Meyerton</t>
        </is>
      </c>
      <c r="H59" s="0" t="inlineStr">
        <is>
          <t xml:space="preserve">Cleaning warehouse</t>
        </is>
      </c>
      <c r="I59" s="0" t="inlineStr">
        <is>
          <t xml:space="preserve">Normal</t>
        </is>
      </c>
      <c r="J59" s="0" t="inlineStr">
        <is>
          <t xml:space="preserve">07:00</t>
        </is>
      </c>
      <c r="K59" s="0" t="inlineStr">
        <is>
          <t xml:space="preserve">16:00</t>
        </is>
      </c>
      <c r="L59" s="9">
        <v>9</v>
      </c>
      <c r="M59" s="9">
        <v>0</v>
      </c>
      <c r="N59" s="6"/>
      <c r="O59" s="10">
        <f>IF(N59&lt;&gt;"",N59,M59)</f>
      </c>
      <c r="P59" s="4">
        <v>0</v>
      </c>
      <c r="Q59" s="7"/>
      <c r="R59" s="5">
        <f>IF(Q59&lt;&gt;"",Q59,IF(N59&lt;&gt;"",IF(M59&gt;0,ROUND(P59*N59/M59,2),0),P59))</f>
      </c>
      <c r="S59" s="9">
        <v>81.25</v>
      </c>
      <c r="T59" s="0" t="inlineStr">
        <is>
          <t xml:space="preserve">OWNER CORRECTION: Duplicate of #9778 — R0.</t>
        </is>
      </c>
      <c r="U59" s="6"/>
      <c r="V59" s="0" t="inlineStr">
        <is>
          <t xml:space="preserve">#10110</t>
        </is>
      </c>
      <c r="W59" s="0" t="inlineStr">
        <is>
          <t xml:space="preserve">#10110 Manual overlap review: the same employee has another overlapping entry on 2026-09-23 for 07:00-16:00.</t>
        </is>
      </c>
      <c r="X59" s="0" t="inlineStr">
        <is>
          <t xml:space="preserve">#10110 DECIDED 0.00 h by Bernie Burness 2026-09-23 09:20: already billed</t>
        </is>
      </c>
    </row>
    <row r="60">
      <c r="A60" s="0">
        <v>9780</v>
      </c>
      <c r="B60" s="0" t="inlineStr">
        <is>
          <t xml:space="preserve">Joshua Motsamai Nteo</t>
        </is>
      </c>
      <c r="C60" s="0" t="inlineStr">
        <is>
          <t xml:space="preserve">2026-09-24</t>
        </is>
      </c>
      <c r="D60" s="0" t="inlineStr">
        <is>
          <t xml:space="preserve">Thursday</t>
        </is>
      </c>
      <c r="F60" s="0" t="inlineStr">
        <is>
          <t xml:space="preserve">Warehouse</t>
        </is>
      </c>
      <c r="G60" s="0" t="inlineStr">
        <is>
          <t xml:space="preserve">Meyerton</t>
        </is>
      </c>
      <c r="H60" s="0" t="inlineStr">
        <is>
          <t xml:space="preserve">Cleaning warehouse</t>
        </is>
      </c>
      <c r="I60" s="0" t="inlineStr">
        <is>
          <t xml:space="preserve">Warehouse Team</t>
        </is>
      </c>
      <c r="J60" s="0" t="inlineStr">
        <is>
          <t xml:space="preserve">07:00</t>
        </is>
      </c>
      <c r="K60" s="0" t="inlineStr">
        <is>
          <t xml:space="preserve">15:00</t>
        </is>
      </c>
      <c r="L60" s="9">
        <v>8</v>
      </c>
      <c r="M60" s="9">
        <v>8</v>
      </c>
      <c r="N60" s="6"/>
      <c r="O60" s="10">
        <f>IF(N60&lt;&gt;"",N60,M60)</f>
      </c>
      <c r="P60" s="4">
        <v>1218.75</v>
      </c>
      <c r="Q60" s="7"/>
      <c r="R60" s="5">
        <f>IF(Q60&lt;&gt;"",Q60,IF(N60&lt;&gt;"",IF(M60&gt;0,ROUND(P60*N60/M60,2),0),P60))</f>
      </c>
      <c r="S60" s="9">
        <v>162.5</v>
      </c>
      <c r="T60" s="0" t="inlineStr">
        <is>
          <t xml:space="preserve">OWNER CORRECTION: Owner 23 Sep: Heritage Day — warehouse, hours set to 07:00–15:00 (no set-ups). 7.5 h × R162,50 = R1218.75</t>
        </is>
      </c>
      <c r="U60" s="6"/>
      <c r="V60" s="0" t="inlineStr">
        <is>
          <t xml:space="preserve">#9977</t>
        </is>
      </c>
      <c r="W60" s="0" t="inlineStr">
        <is>
          <t xml:space="preserve">#10135 Public holiday (Heritage Day) — owner to approve or decline: PUBLIC HOLIDAY — Heritage Day (24 Sep 2026): Joshua Motsamai Nteo worked 07:00–16:00 at Warehouse (Meyerton), Cleaning warehouse. Held for owner approval.</t>
        </is>
      </c>
      <c r="X60" s="0" t="inlineStr">
        <is>
          <t xml:space="preserve">#10135 DECIDED 7.50 h by Bernie Burness 2026-09-23 10:29: Public holiday (Heritage Day) approved by Bernie Burness 23 Sep — hours set to 07:00–15:00 (no set-ups): Warehouse public holiday (Heritage Day), owner set hours 07:00–15:00: 8.0 h − 0.5 h staff meeting 07:00–07:30 (unpaid) = 7.5 h × R162,50 (R81,25 × 2) = R1218.75</t>
        </is>
      </c>
    </row>
    <row r="61">
      <c r="A61" s="0">
        <v>9782</v>
      </c>
      <c r="B61" s="0" t="inlineStr">
        <is>
          <t xml:space="preserve">Joshua Motsamai Nteo</t>
        </is>
      </c>
      <c r="C61" s="0" t="inlineStr">
        <is>
          <t xml:space="preserve">2026-09-25</t>
        </is>
      </c>
      <c r="D61" s="0" t="inlineStr">
        <is>
          <t xml:space="preserve">Friday</t>
        </is>
      </c>
      <c r="F61" s="0" t="inlineStr">
        <is>
          <t xml:space="preserve">Capital hotel / botanical gardens JHB</t>
        </is>
      </c>
      <c r="G61" s="0" t="inlineStr">
        <is>
          <t xml:space="preserve">Sandton / JHB</t>
        </is>
      </c>
      <c r="H61" s="0" t="inlineStr">
        <is>
          <t xml:space="preserve">Setup for events</t>
        </is>
      </c>
      <c r="I61" s="0" t="inlineStr">
        <is>
          <t xml:space="preserve">Normal</t>
        </is>
      </c>
      <c r="J61" s="0" t="inlineStr">
        <is>
          <t xml:space="preserve">07:00</t>
        </is>
      </c>
      <c r="K61" s="0" t="inlineStr">
        <is>
          <t xml:space="preserve">16:00</t>
        </is>
      </c>
      <c r="L61" s="9">
        <v>9</v>
      </c>
      <c r="M61" s="9">
        <v>9</v>
      </c>
      <c r="N61" s="6"/>
      <c r="O61" s="10">
        <f>IF(N61&lt;&gt;"",N61,M61)</f>
      </c>
      <c r="P61" s="4">
        <v>855</v>
      </c>
      <c r="Q61" s="7"/>
      <c r="R61" s="5">
        <f>IF(Q61&lt;&gt;"",Q61,IF(N61&lt;&gt;"",IF(M61&gt;0,ROUND(P61*N61/M61,2),0),P61))</f>
      </c>
      <c r="S61" s="9">
        <v>95</v>
      </c>
      <c r="T61" s="0" t="inlineStr">
        <is>
          <t xml:space="preserve">Venue/event: 9 h × R95</t>
        </is>
      </c>
      <c r="U61" s="6"/>
    </row>
    <row r="62">
      <c r="A62" s="0">
        <v>9861</v>
      </c>
      <c r="B62" s="0" t="inlineStr">
        <is>
          <t xml:space="preserve">Lebo Lebo</t>
        </is>
      </c>
      <c r="C62" s="0" t="inlineStr">
        <is>
          <t xml:space="preserve">2026-09-24</t>
        </is>
      </c>
      <c r="D62" s="0" t="inlineStr">
        <is>
          <t xml:space="preserve">Thursday</t>
        </is>
      </c>
      <c r="F62" s="0" t="inlineStr">
        <is>
          <t xml:space="preserve">Warehouse</t>
        </is>
      </c>
      <c r="G62" s="0" t="inlineStr">
        <is>
          <t xml:space="preserve">Highbury</t>
        </is>
      </c>
      <c r="H62" s="0" t="inlineStr">
        <is>
          <t xml:space="preserve">Offloading + Loading</t>
        </is>
      </c>
      <c r="I62" s="0" t="inlineStr">
        <is>
          <t xml:space="preserve">Normal</t>
        </is>
      </c>
      <c r="J62" s="0" t="inlineStr">
        <is>
          <t xml:space="preserve">07:00</t>
        </is>
      </c>
      <c r="K62" s="0" t="inlineStr">
        <is>
          <t xml:space="preserve">13:25</t>
        </is>
      </c>
      <c r="L62" s="9">
        <v>6.42</v>
      </c>
      <c r="M62" s="9">
        <v>6.42</v>
      </c>
      <c r="N62" s="6"/>
      <c r="O62" s="10">
        <f>IF(N62&lt;&gt;"",N62,M62)</f>
      </c>
      <c r="P62" s="4">
        <v>0</v>
      </c>
      <c r="Q62" s="7"/>
      <c r="R62" s="5">
        <f>IF(Q62&lt;&gt;"",Q62,IF(N62&lt;&gt;"",IF(M62&gt;0,ROUND(P62*N62/M62,2),0),P62))</f>
      </c>
      <c r="S62" s="9">
        <v>190</v>
      </c>
      <c r="T62" s="0" t="inlineStr">
        <is>
          <t xml:space="preserve">PUBLIC HOLIDAY — HELD for owner approval — recommended Venue/event public holiday (Heritage Day): 6.42 h × R190 (R95 × 2) = R1 219,17; R0 until approved</t>
        </is>
      </c>
      <c r="U62" s="6"/>
      <c r="V62" s="0" t="inlineStr">
        <is>
          <t xml:space="preserve">#10149</t>
        </is>
      </c>
    </row>
    <row r="63">
      <c r="A63" s="0">
        <v>9862</v>
      </c>
      <c r="B63" s="0" t="inlineStr">
        <is>
          <t xml:space="preserve">Lebo Lebo</t>
        </is>
      </c>
      <c r="C63" s="0" t="inlineStr">
        <is>
          <t xml:space="preserve">2026-09-25</t>
        </is>
      </c>
      <c r="D63" s="0" t="inlineStr">
        <is>
          <t xml:space="preserve">Friday</t>
        </is>
      </c>
      <c r="F63" s="0" t="inlineStr">
        <is>
          <t xml:space="preserve">Riverside sun + stonehaven + amstel arena</t>
        </is>
      </c>
      <c r="G63" s="0" t="inlineStr">
        <is>
          <t xml:space="preserve">Vanderbiljpark + Soweto</t>
        </is>
      </c>
      <c r="H63" s="0" t="inlineStr">
        <is>
          <t xml:space="preserve">Collections + drop off</t>
        </is>
      </c>
      <c r="I63" s="0" t="inlineStr">
        <is>
          <t xml:space="preserve">Normal</t>
        </is>
      </c>
      <c r="J63" s="0" t="inlineStr">
        <is>
          <t xml:space="preserve">07:00</t>
        </is>
      </c>
      <c r="K63" s="0" t="inlineStr">
        <is>
          <t xml:space="preserve">16:00</t>
        </is>
      </c>
      <c r="L63" s="9">
        <v>9</v>
      </c>
      <c r="M63" s="9">
        <v>9</v>
      </c>
      <c r="N63" s="6"/>
      <c r="O63" s="10">
        <f>IF(N63&lt;&gt;"",N63,M63)</f>
      </c>
      <c r="P63" s="4">
        <v>855</v>
      </c>
      <c r="Q63" s="7"/>
      <c r="R63" s="5">
        <f>IF(Q63&lt;&gt;"",Q63,IF(N63&lt;&gt;"",IF(M63&gt;0,ROUND(P63*N63/M63,2),0),P63))</f>
      </c>
      <c r="S63" s="9">
        <v>95</v>
      </c>
      <c r="T63" s="0" t="inlineStr">
        <is>
          <t xml:space="preserve">Venue/event: 9 h × R95</t>
        </is>
      </c>
      <c r="U63" s="6"/>
    </row>
    <row r="64">
      <c r="A64" s="0">
        <v>9770</v>
      </c>
      <c r="B64" s="0" t="inlineStr">
        <is>
          <t xml:space="preserve">Patrick Ngozo</t>
        </is>
      </c>
      <c r="C64" s="0" t="inlineStr">
        <is>
          <t xml:space="preserve">2026-09-16</t>
        </is>
      </c>
      <c r="D64" s="0" t="inlineStr">
        <is>
          <t xml:space="preserve">Wednesday</t>
        </is>
      </c>
      <c r="E64" s="0" t="inlineStr">
        <is>
          <t xml:space="preserve">YES</t>
        </is>
      </c>
      <c r="F64" s="0" t="inlineStr">
        <is>
          <t xml:space="preserve">Parys</t>
        </is>
      </c>
      <c r="G64" s="0" t="inlineStr">
        <is>
          <t xml:space="preserve">Free state</t>
        </is>
      </c>
      <c r="H64" s="0" t="inlineStr">
        <is>
          <t xml:space="preserve">Golf day Set up</t>
        </is>
      </c>
      <c r="I64" s="0" t="inlineStr">
        <is>
          <t xml:space="preserve">Normal</t>
        </is>
      </c>
      <c r="J64" s="0" t="inlineStr">
        <is>
          <t xml:space="preserve">16:00</t>
        </is>
      </c>
      <c r="K64" s="0" t="inlineStr">
        <is>
          <t xml:space="preserve">18:00</t>
        </is>
      </c>
      <c r="L64" s="9">
        <v>2</v>
      </c>
      <c r="M64" s="9">
        <v>2</v>
      </c>
      <c r="N64" s="6"/>
      <c r="O64" s="10">
        <f>IF(N64&lt;&gt;"",N64,M64)</f>
      </c>
      <c r="P64" s="4">
        <v>190</v>
      </c>
      <c r="Q64" s="7"/>
      <c r="R64" s="5">
        <f>IF(Q64&lt;&gt;"",Q64,IF(N64&lt;&gt;"",IF(M64&gt;0,ROUND(P64*N64/M64,2),0),P64))</f>
      </c>
      <c r="S64" s="9">
        <v>95</v>
      </c>
      <c r="T64" s="0" t="inlineStr">
        <is>
          <t xml:space="preserve">Venue/event: 2 h × R95</t>
        </is>
      </c>
      <c r="U64" s="6"/>
      <c r="W64" s="0" t="inlineStr">
        <is>
          <t xml:space="preserve">CLEAR: worked 06:30–16:00 that day (paid in payroll n/a); these hours are outside those times.</t>
        </is>
      </c>
      <c r="X64" s="0" t="inlineStr">
        <is>
          <t xml:space="preserve">No review needed</t>
        </is>
      </c>
    </row>
    <row r="65">
      <c r="A65" s="0">
        <v>9771</v>
      </c>
      <c r="B65" s="0" t="inlineStr">
        <is>
          <t xml:space="preserve">Patrick Ngozo</t>
        </is>
      </c>
      <c r="C65" s="0" t="inlineStr">
        <is>
          <t xml:space="preserve">2026-09-17</t>
        </is>
      </c>
      <c r="D65" s="0" t="inlineStr">
        <is>
          <t xml:space="preserve">Thursday</t>
        </is>
      </c>
      <c r="E65" s="0" t="inlineStr">
        <is>
          <t xml:space="preserve">YES</t>
        </is>
      </c>
      <c r="F65" s="0" t="inlineStr">
        <is>
          <t xml:space="preserve">Parys</t>
        </is>
      </c>
      <c r="G65" s="0" t="inlineStr">
        <is>
          <t xml:space="preserve">Free state</t>
        </is>
      </c>
      <c r="H65" s="0" t="inlineStr">
        <is>
          <t xml:space="preserve">Golf day set up</t>
        </is>
      </c>
      <c r="I65" s="0" t="inlineStr">
        <is>
          <t xml:space="preserve">Normal</t>
        </is>
      </c>
      <c r="J65" s="0" t="inlineStr">
        <is>
          <t xml:space="preserve">06:00</t>
        </is>
      </c>
      <c r="K65" s="0" t="inlineStr">
        <is>
          <t xml:space="preserve">07:00</t>
        </is>
      </c>
      <c r="L65" s="9">
        <v>1</v>
      </c>
      <c r="M65" s="9">
        <v>1</v>
      </c>
      <c r="N65" s="6"/>
      <c r="O65" s="10">
        <f>IF(N65&lt;&gt;"",N65,M65)</f>
      </c>
      <c r="P65" s="4">
        <v>95</v>
      </c>
      <c r="Q65" s="7"/>
      <c r="R65" s="5">
        <f>IF(Q65&lt;&gt;"",Q65,IF(N65&lt;&gt;"",IF(M65&gt;0,ROUND(P65*N65/M65,2),0),P65))</f>
      </c>
      <c r="S65" s="9">
        <v>95</v>
      </c>
      <c r="T65" s="0" t="inlineStr">
        <is>
          <t xml:space="preserve">Venue/event: 1 h × R95</t>
        </is>
      </c>
      <c r="U65" s="6"/>
      <c r="W65" s="0" t="inlineStr">
        <is>
          <t xml:space="preserve">CLEAR: worked 07:00–16:00 that day (paid in payroll n/a); these hours are outside those times.</t>
        </is>
      </c>
      <c r="X65" s="0" t="inlineStr">
        <is>
          <t xml:space="preserve">No review needed</t>
        </is>
      </c>
    </row>
    <row r="66">
      <c r="A66" s="0">
        <v>9772</v>
      </c>
      <c r="B66" s="0" t="inlineStr">
        <is>
          <t xml:space="preserve">Patrick Ngozo</t>
        </is>
      </c>
      <c r="C66" s="0" t="inlineStr">
        <is>
          <t xml:space="preserve">2026-09-17</t>
        </is>
      </c>
      <c r="D66" s="0" t="inlineStr">
        <is>
          <t xml:space="preserve">Thursday</t>
        </is>
      </c>
      <c r="E66" s="0" t="inlineStr">
        <is>
          <t xml:space="preserve">YES</t>
        </is>
      </c>
      <c r="F66" s="0" t="inlineStr">
        <is>
          <t xml:space="preserve">Parys</t>
        </is>
      </c>
      <c r="G66" s="0" t="inlineStr">
        <is>
          <t xml:space="preserve">Free state</t>
        </is>
      </c>
      <c r="H66" s="0" t="inlineStr">
        <is>
          <t xml:space="preserve">Breakdown</t>
        </is>
      </c>
      <c r="I66" s="0" t="inlineStr">
        <is>
          <t xml:space="preserve">Normal</t>
        </is>
      </c>
      <c r="J66" s="0" t="inlineStr">
        <is>
          <t xml:space="preserve">16:00</t>
        </is>
      </c>
      <c r="K66" s="0" t="inlineStr">
        <is>
          <t xml:space="preserve">20:00</t>
        </is>
      </c>
      <c r="L66" s="9">
        <v>4</v>
      </c>
      <c r="M66" s="9">
        <v>4</v>
      </c>
      <c r="N66" s="6"/>
      <c r="O66" s="10">
        <f>IF(N66&lt;&gt;"",N66,M66)</f>
      </c>
      <c r="P66" s="4">
        <v>380</v>
      </c>
      <c r="Q66" s="7"/>
      <c r="R66" s="5">
        <f>IF(Q66&lt;&gt;"",Q66,IF(N66&lt;&gt;"",IF(M66&gt;0,ROUND(P66*N66/M66,2),0),P66))</f>
      </c>
      <c r="S66" s="9">
        <v>95</v>
      </c>
      <c r="T66" s="0" t="inlineStr">
        <is>
          <t xml:space="preserve">Venue/event: 4 h × R95</t>
        </is>
      </c>
      <c r="U66" s="6"/>
      <c r="W66" s="0" t="inlineStr">
        <is>
          <t xml:space="preserve">CLEAR: worked 07:00–16:00 that day (paid in payroll n/a); these hours are outside those times.</t>
        </is>
      </c>
      <c r="X66" s="0" t="inlineStr">
        <is>
          <t xml:space="preserve">No review needed</t>
        </is>
      </c>
    </row>
    <row r="67">
      <c r="A67" s="0">
        <v>9769</v>
      </c>
      <c r="B67" s="0" t="inlineStr">
        <is>
          <t xml:space="preserve">Patrick Ngozo</t>
        </is>
      </c>
      <c r="C67" s="0" t="inlineStr">
        <is>
          <t xml:space="preserve">2026-09-21</t>
        </is>
      </c>
      <c r="D67" s="0" t="inlineStr">
        <is>
          <t xml:space="preserve">Monday</t>
        </is>
      </c>
      <c r="F67" s="0" t="inlineStr">
        <is>
          <t xml:space="preserve">FNB Stadium</t>
        </is>
      </c>
      <c r="G67" s="0" t="inlineStr">
        <is>
          <t xml:space="preserve">Johannesburg</t>
        </is>
      </c>
      <c r="H67" s="0" t="inlineStr">
        <is>
          <t xml:space="preserve">Breakdown</t>
        </is>
      </c>
      <c r="I67" s="0" t="inlineStr">
        <is>
          <t xml:space="preserve">Normal</t>
        </is>
      </c>
      <c r="J67" s="0" t="inlineStr">
        <is>
          <t xml:space="preserve">06:30</t>
        </is>
      </c>
      <c r="K67" s="0" t="inlineStr">
        <is>
          <t xml:space="preserve">16:00</t>
        </is>
      </c>
      <c r="L67" s="9">
        <v>9.5</v>
      </c>
      <c r="M67" s="9">
        <v>9.5</v>
      </c>
      <c r="N67" s="6"/>
      <c r="O67" s="10">
        <f>IF(N67&lt;&gt;"",N67,M67)</f>
      </c>
      <c r="P67" s="4">
        <v>902.5</v>
      </c>
      <c r="Q67" s="7"/>
      <c r="R67" s="5">
        <f>IF(Q67&lt;&gt;"",Q67,IF(N67&lt;&gt;"",IF(M67&gt;0,ROUND(P67*N67/M67,2),0),P67))</f>
      </c>
      <c r="S67" s="9">
        <v>95</v>
      </c>
      <c r="T67" s="0" t="inlineStr">
        <is>
          <t xml:space="preserve">Venue/event: 9.5 h × R95</t>
        </is>
      </c>
      <c r="U67" s="6"/>
    </row>
    <row r="68">
      <c r="A68" s="0">
        <v>9773</v>
      </c>
      <c r="B68" s="0" t="inlineStr">
        <is>
          <t xml:space="preserve">Patrick Ngozo</t>
        </is>
      </c>
      <c r="C68" s="0" t="inlineStr">
        <is>
          <t xml:space="preserve">2026-09-22</t>
        </is>
      </c>
      <c r="D68" s="0" t="inlineStr">
        <is>
          <t xml:space="preserve">Tuesday</t>
        </is>
      </c>
      <c r="F68" s="0" t="inlineStr">
        <is>
          <t xml:space="preserve">Wearhouse</t>
        </is>
      </c>
      <c r="G68" s="0" t="inlineStr">
        <is>
          <t xml:space="preserve">Meyerton</t>
        </is>
      </c>
      <c r="H68" s="0" t="inlineStr">
        <is>
          <t xml:space="preserve">Loading</t>
        </is>
      </c>
      <c r="I68" s="0" t="inlineStr">
        <is>
          <t xml:space="preserve">Normal</t>
        </is>
      </c>
      <c r="J68" s="0" t="inlineStr">
        <is>
          <t xml:space="preserve">06:30</t>
        </is>
      </c>
      <c r="K68" s="0" t="inlineStr">
        <is>
          <t xml:space="preserve">16:00</t>
        </is>
      </c>
      <c r="L68" s="9">
        <v>9.5</v>
      </c>
      <c r="M68" s="9">
        <v>9.5</v>
      </c>
      <c r="N68" s="6"/>
      <c r="O68" s="10">
        <f>IF(N68&lt;&gt;"",N68,M68)</f>
      </c>
      <c r="P68" s="4">
        <v>731.25</v>
      </c>
      <c r="Q68" s="7"/>
      <c r="R68" s="5">
        <f>IF(Q68&lt;&gt;"",Q68,IF(N68&lt;&gt;"",IF(M68&gt;0,ROUND(P68*N68/M68,2),0),P68))</f>
      </c>
      <c r="S68" s="9">
        <v>81.25</v>
      </c>
      <c r="T68" s="0" t="inlineStr">
        <is>
          <t xml:space="preserve">Warehouse: 9.5 h − 0.5 h staff meeting 07:00–07:30 (unpaid, R40,63) = 9 h × R81,25</t>
        </is>
      </c>
      <c r="U68" s="6"/>
      <c r="V68" s="0" t="inlineStr">
        <is>
          <t xml:space="preserve">#9954</t>
        </is>
      </c>
    </row>
    <row r="69">
      <c r="A69" s="0">
        <v>9837</v>
      </c>
      <c r="B69" s="0" t="inlineStr">
        <is>
          <t xml:space="preserve">Patrick Ngozo</t>
        </is>
      </c>
      <c r="C69" s="0" t="inlineStr">
        <is>
          <t xml:space="preserve">2026-09-23</t>
        </is>
      </c>
      <c r="D69" s="0" t="inlineStr">
        <is>
          <t xml:space="preserve">Wednesday</t>
        </is>
      </c>
      <c r="F69" s="0" t="inlineStr">
        <is>
          <t xml:space="preserve">Vaal Boating Season</t>
        </is>
      </c>
      <c r="G69" s="0" t="inlineStr">
        <is>
          <t xml:space="preserve">Vereeniging</t>
        </is>
      </c>
      <c r="H69" s="0" t="inlineStr">
        <is>
          <t xml:space="preserve">Set up</t>
        </is>
      </c>
      <c r="I69" s="0" t="inlineStr">
        <is>
          <t xml:space="preserve">Normal</t>
        </is>
      </c>
      <c r="J69" s="0" t="inlineStr">
        <is>
          <t xml:space="preserve">06:30</t>
        </is>
      </c>
      <c r="K69" s="0" t="inlineStr">
        <is>
          <t xml:space="preserve">16:00</t>
        </is>
      </c>
      <c r="L69" s="9">
        <v>9.5</v>
      </c>
      <c r="M69" s="9">
        <v>9.5</v>
      </c>
      <c r="N69" s="6"/>
      <c r="O69" s="10">
        <f>IF(N69&lt;&gt;"",N69,M69)</f>
      </c>
      <c r="P69" s="4">
        <v>902.5</v>
      </c>
      <c r="Q69" s="7"/>
      <c r="R69" s="5">
        <f>IF(Q69&lt;&gt;"",Q69,IF(N69&lt;&gt;"",IF(M69&gt;0,ROUND(P69*N69/M69,2),0),P69))</f>
      </c>
      <c r="S69" s="9">
        <v>95</v>
      </c>
      <c r="T69" s="0" t="inlineStr">
        <is>
          <t xml:space="preserve">Venue/event: 9.5 h × R95</t>
        </is>
      </c>
      <c r="U69" s="6"/>
    </row>
    <row r="70">
      <c r="A70" s="0">
        <v>9838</v>
      </c>
      <c r="B70" s="0" t="inlineStr">
        <is>
          <t xml:space="preserve">Patrick Ngozo</t>
        </is>
      </c>
      <c r="C70" s="0" t="inlineStr">
        <is>
          <t xml:space="preserve">2026-09-24</t>
        </is>
      </c>
      <c r="D70" s="0" t="inlineStr">
        <is>
          <t xml:space="preserve">Thursday</t>
        </is>
      </c>
      <c r="F70" s="0" t="inlineStr">
        <is>
          <t xml:space="preserve">Wearhouse</t>
        </is>
      </c>
      <c r="G70" s="0" t="inlineStr">
        <is>
          <t xml:space="preserve">Meyerton</t>
        </is>
      </c>
      <c r="H70" s="0" t="inlineStr">
        <is>
          <t xml:space="preserve">Loading</t>
        </is>
      </c>
      <c r="I70" s="0" t="inlineStr">
        <is>
          <t xml:space="preserve">Warehouse Team</t>
        </is>
      </c>
      <c r="J70" s="0" t="inlineStr">
        <is>
          <t xml:space="preserve">06:30</t>
        </is>
      </c>
      <c r="K70" s="0" t="inlineStr">
        <is>
          <t xml:space="preserve">15:00</t>
        </is>
      </c>
      <c r="L70" s="9">
        <v>8.5</v>
      </c>
      <c r="M70" s="9">
        <v>8.5</v>
      </c>
      <c r="N70" s="6"/>
      <c r="O70" s="10">
        <f>IF(N70&lt;&gt;"",N70,M70)</f>
      </c>
      <c r="P70" s="4">
        <v>1300</v>
      </c>
      <c r="Q70" s="7"/>
      <c r="R70" s="5">
        <f>IF(Q70&lt;&gt;"",Q70,IF(N70&lt;&gt;"",IF(M70&gt;0,ROUND(P70*N70/M70,2),0),P70))</f>
      </c>
      <c r="S70" s="9">
        <v>162.5</v>
      </c>
      <c r="T70" s="0" t="inlineStr">
        <is>
          <t xml:space="preserve">OWNER CORRECTION: Owner 23 Sep: Heritage Day — warehouse, hours set to 06:30–15:00 (no set-ups). 8 h × R162,50 = R1300</t>
        </is>
      </c>
      <c r="U70" s="6"/>
      <c r="W70" s="0" t="inlineStr">
        <is>
          <t xml:space="preserve">#10143 Public holiday (Heritage Day) — owner to approve or decline: PUBLIC HOLIDAY — Heritage Day (24 Sep 2026): Patrick Ngozo worked 06:30–15:00. Held for owner approval.</t>
        </is>
      </c>
      <c r="X70" s="0" t="inlineStr">
        <is>
          <t xml:space="preserve">#10143 DECIDED 8.00 h by Bernie Burness 2026-09-23 10:30: Public holiday (Heritage Day) approved by Bernie Burness 23 Sep at the holiday rate: Warehouse public holiday (Heritage Day), owner set hours 06:30–15:00: 8.5 h − 0.5 h staff meeting = 8 h × R162,50 = R1 300,00</t>
        </is>
      </c>
    </row>
    <row r="71">
      <c r="A71" s="0">
        <v>9839</v>
      </c>
      <c r="B71" s="0" t="inlineStr">
        <is>
          <t xml:space="preserve">Patrick Ngozo</t>
        </is>
      </c>
      <c r="C71" s="0" t="inlineStr">
        <is>
          <t xml:space="preserve">2026-09-25</t>
        </is>
      </c>
      <c r="D71" s="0" t="inlineStr">
        <is>
          <t xml:space="preserve">Friday</t>
        </is>
      </c>
      <c r="F71" s="0" t="inlineStr">
        <is>
          <t xml:space="preserve">Pretoria Country Club</t>
        </is>
      </c>
      <c r="G71" s="0" t="inlineStr">
        <is>
          <t xml:space="preserve">Pretoria</t>
        </is>
      </c>
      <c r="H71" s="0" t="inlineStr">
        <is>
          <t xml:space="preserve">Set up Golf ⛳️  course</t>
        </is>
      </c>
      <c r="I71" s="0" t="inlineStr">
        <is>
          <t xml:space="preserve">Normal</t>
        </is>
      </c>
      <c r="J71" s="0" t="inlineStr">
        <is>
          <t xml:space="preserve">06:30</t>
        </is>
      </c>
      <c r="K71" s="0" t="inlineStr">
        <is>
          <t xml:space="preserve">16:00</t>
        </is>
      </c>
      <c r="L71" s="9">
        <v>9.5</v>
      </c>
      <c r="M71" s="9">
        <v>9.5</v>
      </c>
      <c r="N71" s="6"/>
      <c r="O71" s="10">
        <f>IF(N71&lt;&gt;"",N71,M71)</f>
      </c>
      <c r="P71" s="4">
        <v>902.5</v>
      </c>
      <c r="Q71" s="7"/>
      <c r="R71" s="5">
        <f>IF(Q71&lt;&gt;"",Q71,IF(N71&lt;&gt;"",IF(M71&gt;0,ROUND(P71*N71/M71,2),0),P71))</f>
      </c>
      <c r="S71" s="9">
        <v>95</v>
      </c>
      <c r="T71" s="0" t="inlineStr">
        <is>
          <t xml:space="preserve">Venue/event: 9.5 h × R95</t>
        </is>
      </c>
      <c r="U71" s="6"/>
    </row>
    <row r="72">
      <c r="A72" s="0">
        <v>9831</v>
      </c>
      <c r="B72" s="0" t="inlineStr">
        <is>
          <t xml:space="preserve">Solomon Moyo</t>
        </is>
      </c>
      <c r="C72" s="0" t="inlineStr">
        <is>
          <t xml:space="preserve">2026-09-16</t>
        </is>
      </c>
      <c r="D72" s="0" t="inlineStr">
        <is>
          <t xml:space="preserve">Wednesday</t>
        </is>
      </c>
      <c r="E72" s="0" t="inlineStr">
        <is>
          <t xml:space="preserve">YES</t>
        </is>
      </c>
      <c r="F72" s="0" t="inlineStr">
        <is>
          <t xml:space="preserve">Parys Country Club</t>
        </is>
      </c>
      <c r="G72" s="0" t="inlineStr">
        <is>
          <t xml:space="preserve">Free State</t>
        </is>
      </c>
      <c r="H72" s="0" t="inlineStr">
        <is>
          <t xml:space="preserve">Set up</t>
        </is>
      </c>
      <c r="I72" s="0" t="inlineStr">
        <is>
          <t xml:space="preserve">Normal</t>
        </is>
      </c>
      <c r="J72" s="0" t="inlineStr">
        <is>
          <t xml:space="preserve">16:00</t>
        </is>
      </c>
      <c r="K72" s="0" t="inlineStr">
        <is>
          <t xml:space="preserve">18:00</t>
        </is>
      </c>
      <c r="L72" s="9">
        <v>2</v>
      </c>
      <c r="M72" s="9">
        <v>2</v>
      </c>
      <c r="N72" s="6"/>
      <c r="O72" s="10">
        <f>IF(N72&lt;&gt;"",N72,M72)</f>
      </c>
      <c r="P72" s="4">
        <v>190</v>
      </c>
      <c r="Q72" s="7"/>
      <c r="R72" s="5">
        <f>IF(Q72&lt;&gt;"",Q72,IF(N72&lt;&gt;"",IF(M72&gt;0,ROUND(P72*N72/M72,2),0),P72))</f>
      </c>
      <c r="S72" s="9">
        <v>95</v>
      </c>
      <c r="T72" s="0" t="inlineStr">
        <is>
          <t xml:space="preserve">Venue/event: 2 h × R95</t>
        </is>
      </c>
      <c r="U72" s="6"/>
      <c r="W72" s="0" t="inlineStr">
        <is>
          <t xml:space="preserve">CLEAR: worked 07:00–16:00 that day (paid in payroll n/a); these hours are outside those times.</t>
        </is>
      </c>
      <c r="X72" s="0" t="inlineStr">
        <is>
          <t xml:space="preserve">No review needed</t>
        </is>
      </c>
    </row>
    <row r="73">
      <c r="A73" s="0">
        <v>9830</v>
      </c>
      <c r="B73" s="0" t="inlineStr">
        <is>
          <t xml:space="preserve">Solomon Moyo</t>
        </is>
      </c>
      <c r="C73" s="0" t="inlineStr">
        <is>
          <t xml:space="preserve">2026-09-17</t>
        </is>
      </c>
      <c r="D73" s="0" t="inlineStr">
        <is>
          <t xml:space="preserve">Thursday</t>
        </is>
      </c>
      <c r="E73" s="0" t="inlineStr">
        <is>
          <t xml:space="preserve">YES</t>
        </is>
      </c>
      <c r="F73" s="0" t="inlineStr">
        <is>
          <t xml:space="preserve">Parys Country Club</t>
        </is>
      </c>
      <c r="G73" s="0" t="inlineStr">
        <is>
          <t xml:space="preserve">Free State</t>
        </is>
      </c>
      <c r="H73" s="0" t="inlineStr">
        <is>
          <t xml:space="preserve">Breakdown</t>
        </is>
      </c>
      <c r="I73" s="0" t="inlineStr">
        <is>
          <t xml:space="preserve">Normal</t>
        </is>
      </c>
      <c r="J73" s="0" t="inlineStr">
        <is>
          <t xml:space="preserve">16:00</t>
        </is>
      </c>
      <c r="K73" s="0" t="inlineStr">
        <is>
          <t xml:space="preserve">21:00</t>
        </is>
      </c>
      <c r="L73" s="9">
        <v>5</v>
      </c>
      <c r="M73" s="9">
        <v>5</v>
      </c>
      <c r="N73" s="6"/>
      <c r="O73" s="10">
        <f>IF(N73&lt;&gt;"",N73,M73)</f>
      </c>
      <c r="P73" s="4">
        <v>475</v>
      </c>
      <c r="Q73" s="7"/>
      <c r="R73" s="5">
        <f>IF(Q73&lt;&gt;"",Q73,IF(N73&lt;&gt;"",IF(M73&gt;0,ROUND(P73*N73/M73,2),0),P73))</f>
      </c>
      <c r="S73" s="9">
        <v>95</v>
      </c>
      <c r="T73" s="0" t="inlineStr">
        <is>
          <t xml:space="preserve">Venue/event: 5 h × R95</t>
        </is>
      </c>
      <c r="U73" s="6"/>
      <c r="W73" s="0" t="inlineStr">
        <is>
          <t xml:space="preserve">CLEAR: worked 07:00–16:00 that day (paid in payroll n/a); these hours are outside those times.</t>
        </is>
      </c>
      <c r="X73" s="0" t="inlineStr">
        <is>
          <t xml:space="preserve">No review needed</t>
        </is>
      </c>
    </row>
    <row r="74">
      <c r="A74" s="0">
        <v>9836</v>
      </c>
      <c r="B74" s="0" t="inlineStr">
        <is>
          <t xml:space="preserve">Solomon Moyo</t>
        </is>
      </c>
      <c r="C74" s="0" t="inlineStr">
        <is>
          <t xml:space="preserve">2026-09-21</t>
        </is>
      </c>
      <c r="D74" s="0" t="inlineStr">
        <is>
          <t xml:space="preserve">Monday</t>
        </is>
      </c>
      <c r="F74" s="0" t="inlineStr">
        <is>
          <t xml:space="preserve">FNB Stadium</t>
        </is>
      </c>
      <c r="G74" s="0" t="inlineStr">
        <is>
          <t xml:space="preserve">Johannesburg</t>
        </is>
      </c>
      <c r="H74" s="0" t="inlineStr">
        <is>
          <t xml:space="preserve">Breakdown</t>
        </is>
      </c>
      <c r="I74" s="0" t="inlineStr">
        <is>
          <t xml:space="preserve">Normal</t>
        </is>
      </c>
      <c r="J74" s="0" t="inlineStr">
        <is>
          <t xml:space="preserve">07:00</t>
        </is>
      </c>
      <c r="K74" s="0" t="inlineStr">
        <is>
          <t xml:space="preserve">16:00</t>
        </is>
      </c>
      <c r="L74" s="9">
        <v>9</v>
      </c>
      <c r="M74" s="9">
        <v>9</v>
      </c>
      <c r="N74" s="6"/>
      <c r="O74" s="10">
        <f>IF(N74&lt;&gt;"",N74,M74)</f>
      </c>
      <c r="P74" s="4">
        <v>855</v>
      </c>
      <c r="Q74" s="7"/>
      <c r="R74" s="5">
        <f>IF(Q74&lt;&gt;"",Q74,IF(N74&lt;&gt;"",IF(M74&gt;0,ROUND(P74*N74/M74,2),0),P74))</f>
      </c>
      <c r="S74" s="9">
        <v>95</v>
      </c>
      <c r="T74" s="0" t="inlineStr">
        <is>
          <t xml:space="preserve">Venue/event: 9 h × R95</t>
        </is>
      </c>
      <c r="U74" s="6"/>
    </row>
    <row r="75">
      <c r="A75" s="0">
        <v>9835</v>
      </c>
      <c r="B75" s="0" t="inlineStr">
        <is>
          <t xml:space="preserve">Solomon Moyo</t>
        </is>
      </c>
      <c r="C75" s="0" t="inlineStr">
        <is>
          <t xml:space="preserve">2026-09-22</t>
        </is>
      </c>
      <c r="D75" s="0" t="inlineStr">
        <is>
          <t xml:space="preserve">Tuesday</t>
        </is>
      </c>
      <c r="F75" s="0" t="inlineStr">
        <is>
          <t xml:space="preserve">Warehouse</t>
        </is>
      </c>
      <c r="G75" s="0" t="inlineStr">
        <is>
          <t xml:space="preserve">Midvaal</t>
        </is>
      </c>
      <c r="H75" s="0" t="inlineStr">
        <is>
          <t xml:space="preserve">Loading</t>
        </is>
      </c>
      <c r="I75" s="0" t="inlineStr">
        <is>
          <t xml:space="preserve">Normal</t>
        </is>
      </c>
      <c r="J75" s="0" t="inlineStr">
        <is>
          <t xml:space="preserve">07:00</t>
        </is>
      </c>
      <c r="K75" s="0" t="inlineStr">
        <is>
          <t xml:space="preserve">16:00</t>
        </is>
      </c>
      <c r="L75" s="9">
        <v>9</v>
      </c>
      <c r="M75" s="9">
        <v>9</v>
      </c>
      <c r="N75" s="6"/>
      <c r="O75" s="10">
        <f>IF(N75&lt;&gt;"",N75,M75)</f>
      </c>
      <c r="P75" s="4">
        <v>690.63</v>
      </c>
      <c r="Q75" s="7"/>
      <c r="R75" s="5">
        <f>IF(Q75&lt;&gt;"",Q75,IF(N75&lt;&gt;"",IF(M75&gt;0,ROUND(P75*N75/M75,2),0),P75))</f>
      </c>
      <c r="S75" s="9">
        <v>81.25</v>
      </c>
      <c r="T75" s="0" t="inlineStr">
        <is>
          <t xml:space="preserve">Warehouse: 9 h − 0.5 h staff meeting 07:00–07:30 (unpaid, R40,63) = 8.5 h × R81,25</t>
        </is>
      </c>
      <c r="U75" s="6"/>
      <c r="V75" s="0" t="inlineStr">
        <is>
          <t xml:space="preserve">#10063</t>
        </is>
      </c>
    </row>
    <row r="76">
      <c r="A76" s="0">
        <v>9834</v>
      </c>
      <c r="B76" s="0" t="inlineStr">
        <is>
          <t xml:space="preserve">Solomon Moyo</t>
        </is>
      </c>
      <c r="C76" s="0" t="inlineStr">
        <is>
          <t xml:space="preserve">2026-09-23</t>
        </is>
      </c>
      <c r="D76" s="0" t="inlineStr">
        <is>
          <t xml:space="preserve">Wednesday</t>
        </is>
      </c>
      <c r="F76" s="0" t="inlineStr">
        <is>
          <t xml:space="preserve">Riverside sun</t>
        </is>
      </c>
      <c r="G76" s="0" t="inlineStr">
        <is>
          <t xml:space="preserve">Vanderbijlpark</t>
        </is>
      </c>
      <c r="H76" s="0" t="inlineStr">
        <is>
          <t xml:space="preserve">Set up</t>
        </is>
      </c>
      <c r="I76" s="0" t="inlineStr">
        <is>
          <t xml:space="preserve">Normal</t>
        </is>
      </c>
      <c r="J76" s="0" t="inlineStr">
        <is>
          <t xml:space="preserve">07:00</t>
        </is>
      </c>
      <c r="K76" s="0" t="inlineStr">
        <is>
          <t xml:space="preserve">16:00</t>
        </is>
      </c>
      <c r="L76" s="9">
        <v>9</v>
      </c>
      <c r="M76" s="9">
        <v>9</v>
      </c>
      <c r="N76" s="6"/>
      <c r="O76" s="10">
        <f>IF(N76&lt;&gt;"",N76,M76)</f>
      </c>
      <c r="P76" s="4">
        <v>855</v>
      </c>
      <c r="Q76" s="7"/>
      <c r="R76" s="5">
        <f>IF(Q76&lt;&gt;"",Q76,IF(N76&lt;&gt;"",IF(M76&gt;0,ROUND(P76*N76/M76,2),0),P76))</f>
      </c>
      <c r="S76" s="9">
        <v>95</v>
      </c>
      <c r="T76" s="0" t="inlineStr">
        <is>
          <t xml:space="preserve">Venue/event: 9 h × R95</t>
        </is>
      </c>
      <c r="U76" s="6"/>
    </row>
    <row r="77">
      <c r="A77" s="0">
        <v>9833</v>
      </c>
      <c r="B77" s="0" t="inlineStr">
        <is>
          <t xml:space="preserve">Solomon Moyo</t>
        </is>
      </c>
      <c r="C77" s="0" t="inlineStr">
        <is>
          <t xml:space="preserve">2026-09-24</t>
        </is>
      </c>
      <c r="D77" s="0" t="inlineStr">
        <is>
          <t xml:space="preserve">Thursday</t>
        </is>
      </c>
      <c r="F77" s="0" t="inlineStr">
        <is>
          <t xml:space="preserve">Warehouse</t>
        </is>
      </c>
      <c r="G77" s="0" t="inlineStr">
        <is>
          <t xml:space="preserve">Johannesburg</t>
        </is>
      </c>
      <c r="H77" s="0" t="inlineStr">
        <is>
          <t xml:space="preserve">Set up</t>
        </is>
      </c>
      <c r="I77" s="0" t="inlineStr">
        <is>
          <t xml:space="preserve">Warehouse Team</t>
        </is>
      </c>
      <c r="J77" s="0" t="inlineStr">
        <is>
          <t xml:space="preserve">07:00</t>
        </is>
      </c>
      <c r="K77" s="0" t="inlineStr">
        <is>
          <t xml:space="preserve">15:00</t>
        </is>
      </c>
      <c r="L77" s="9">
        <v>8</v>
      </c>
      <c r="M77" s="9">
        <v>8</v>
      </c>
      <c r="N77" s="6"/>
      <c r="O77" s="10">
        <f>IF(N77&lt;&gt;"",N77,M77)</f>
      </c>
      <c r="P77" s="4">
        <v>1218.75</v>
      </c>
      <c r="Q77" s="7"/>
      <c r="R77" s="5">
        <f>IF(Q77&lt;&gt;"",Q77,IF(N77&lt;&gt;"",IF(M77&gt;0,ROUND(P77*N77/M77,2),0),P77))</f>
      </c>
      <c r="S77" s="9">
        <v>162.5</v>
      </c>
      <c r="T77" s="0" t="inlineStr">
        <is>
          <t xml:space="preserve">OWNER CORRECTION: Owner 23 Sep: Heritage Day — whole crew in the warehouse 07:00–15:00 (worker wrote Botanical Gardens, 16:00). 7.5 h × R162,50 = R1 218,75</t>
        </is>
      </c>
      <c r="U77" s="6"/>
      <c r="W77" s="0" t="inlineStr">
        <is>
          <t xml:space="preserve">#10060 Public holiday (Heritage Day) — owner to approve or decline: PUBLIC HOLIDAY — OWNER APPROVAL NEEDED: Solomon Moyo worked 07:00–16:00 on 2026-09-24 (Heritage Day) at Botanical Gardens (Normal). Public-holiday work is not paid automatically. Recommended: Venue/event public holiday (Heritage Day): 9 h × R190 (R95 × 2) = R1 710,00. R0 is paid until the owner approves or declines.</t>
        </is>
      </c>
      <c r="X77" s="0" t="inlineStr">
        <is>
          <t xml:space="preserve">#10060 DECIDED 7.50 h by Bernie Burness 2026-09-23 10:31: Public holiday (Heritage Day) approved by Bernie Burness 23 Sep — warehouse, hours set to 07:00–15:00 (worker wrote Botanical Gardens until 16:00): Warehouse public holiday (Heritage Day), owner set hours 07:00–15:00: 8 h − 0.5 h staff meeting 07:00–07:30 (unpaid) = 7.5 h × R162,50 (R81,25 × 2) = R1 218,75</t>
        </is>
      </c>
    </row>
    <row r="78">
      <c r="A78" s="0">
        <v>9832</v>
      </c>
      <c r="B78" s="0" t="inlineStr">
        <is>
          <t xml:space="preserve">Solomon Moyo</t>
        </is>
      </c>
      <c r="C78" s="0" t="inlineStr">
        <is>
          <t xml:space="preserve">2026-09-25</t>
        </is>
      </c>
      <c r="D78" s="0" t="inlineStr">
        <is>
          <t xml:space="preserve">Friday</t>
        </is>
      </c>
      <c r="F78" s="0" t="inlineStr">
        <is>
          <t xml:space="preserve">Riverside sun</t>
        </is>
      </c>
      <c r="G78" s="0" t="inlineStr">
        <is>
          <t xml:space="preserve">Vanderbijlpark</t>
        </is>
      </c>
      <c r="H78" s="0" t="inlineStr">
        <is>
          <t xml:space="preserve">Breakdown</t>
        </is>
      </c>
      <c r="I78" s="0" t="inlineStr">
        <is>
          <t xml:space="preserve">Normal</t>
        </is>
      </c>
      <c r="J78" s="0" t="inlineStr">
        <is>
          <t xml:space="preserve">07:00</t>
        </is>
      </c>
      <c r="K78" s="0" t="inlineStr">
        <is>
          <t xml:space="preserve">16:00</t>
        </is>
      </c>
      <c r="L78" s="9">
        <v>9</v>
      </c>
      <c r="M78" s="9">
        <v>9</v>
      </c>
      <c r="N78" s="6"/>
      <c r="O78" s="10">
        <f>IF(N78&lt;&gt;"",N78,M78)</f>
      </c>
      <c r="P78" s="4">
        <v>855</v>
      </c>
      <c r="Q78" s="7"/>
      <c r="R78" s="5">
        <f>IF(Q78&lt;&gt;"",Q78,IF(N78&lt;&gt;"",IF(M78&gt;0,ROUND(P78*N78/M78,2),0),P78))</f>
      </c>
      <c r="S78" s="9">
        <v>95</v>
      </c>
      <c r="T78" s="0" t="inlineStr">
        <is>
          <t xml:space="preserve">Venue/event: 9 h × R95</t>
        </is>
      </c>
      <c r="U78" s="6"/>
    </row>
    <row r="79">
      <c r="A79" s="0">
        <v>9815</v>
      </c>
      <c r="B79" s="0" t="inlineStr">
        <is>
          <t xml:space="preserve">Takavaudza Chokuda</t>
        </is>
      </c>
      <c r="C79" s="0" t="inlineStr">
        <is>
          <t xml:space="preserve">2026-09-17</t>
        </is>
      </c>
      <c r="D79" s="0" t="inlineStr">
        <is>
          <t xml:space="preserve">Thursday</t>
        </is>
      </c>
      <c r="E79" s="0" t="inlineStr">
        <is>
          <t xml:space="preserve">YES</t>
        </is>
      </c>
      <c r="F79" s="0" t="inlineStr">
        <is>
          <t xml:space="preserve">FNB</t>
        </is>
      </c>
      <c r="G79" s="0" t="inlineStr">
        <is>
          <t xml:space="preserve">Johannesburg</t>
        </is>
      </c>
      <c r="H79" s="0" t="inlineStr">
        <is>
          <t xml:space="preserve">Set up</t>
        </is>
      </c>
      <c r="I79" s="0" t="inlineStr">
        <is>
          <t xml:space="preserve">Warehouse Team</t>
        </is>
      </c>
      <c r="J79" s="0" t="inlineStr">
        <is>
          <t xml:space="preserve">16:00</t>
        </is>
      </c>
      <c r="K79" s="0" t="inlineStr">
        <is>
          <t xml:space="preserve">18:00</t>
        </is>
      </c>
      <c r="L79" s="9">
        <v>2</v>
      </c>
      <c r="M79" s="9">
        <v>2</v>
      </c>
      <c r="N79" s="6"/>
      <c r="O79" s="10">
        <f>IF(N79&lt;&gt;"",N79,M79)</f>
      </c>
      <c r="P79" s="4">
        <v>190</v>
      </c>
      <c r="Q79" s="7"/>
      <c r="R79" s="5">
        <f>IF(Q79&lt;&gt;"",Q79,IF(N79&lt;&gt;"",IF(M79&gt;0,ROUND(P79*N79/M79,2),0),P79))</f>
      </c>
      <c r="S79" s="9">
        <v>95</v>
      </c>
      <c r="T79" s="0" t="inlineStr">
        <is>
          <t xml:space="preserve">Venue/event: 2 h × R95</t>
        </is>
      </c>
      <c r="U79" s="6"/>
      <c r="W79" s="0" t="inlineStr">
        <is>
          <t xml:space="preserve">CLEAR: worked 07:00–16:00 that day (paid in payroll n/a); these hours are outside those times. | #10074 Warehouse claimed — but the entry names “Johannesburg”: WAREHOUSE CLAIMED BUT THE ENTRY NAMES “Johannesburg”: Takavaudza Chokuda selected Warehouse Team at “FNB” for 2.00 h on Thu 17 Sep 2026, but wrote “Johannesburg” — that is a venue, not the warehouse. 6 workers were at a venue that day (Additional 5 hour shift - 17/09/2026 Parys Golf Day, Botanical garden Pretoria, FNB Stadium, Parys golf &amp; country Estate, Parys Country Club, Parys, Botanical gardens, Fnb stadium). If he was at “Johannesburg”, he is due the venue rate (R95/h); if he was really in the warehouse, R81,25/h. Choose below.</t>
        </is>
      </c>
      <c r="X79" s="0" t="inlineStr">
        <is>
          <t xml:space="preserve">#10074 DECIDED by Bernie Burness 2026-09-23 11:01: Event/Venue rate chosen — shift #9815 R162,50 → R190,00 (Venue/event: 2 h × R95)</t>
        </is>
      </c>
    </row>
    <row r="80">
      <c r="A80" s="0">
        <v>9821</v>
      </c>
      <c r="B80" s="0" t="inlineStr">
        <is>
          <t xml:space="preserve">Takavaudza Chokuda</t>
        </is>
      </c>
      <c r="C80" s="0" t="inlineStr">
        <is>
          <t xml:space="preserve">2026-09-20</t>
        </is>
      </c>
      <c r="D80" s="0" t="inlineStr">
        <is>
          <t xml:space="preserve">Sunday</t>
        </is>
      </c>
      <c r="F80" s="0" t="inlineStr">
        <is>
          <t xml:space="preserve">House</t>
        </is>
      </c>
      <c r="G80" s="0" t="inlineStr">
        <is>
          <t xml:space="preserve">henley</t>
        </is>
      </c>
      <c r="H80" s="0" t="inlineStr">
        <is>
          <t xml:space="preserve">Installing lights and garden  work</t>
        </is>
      </c>
      <c r="I80" s="0" t="inlineStr">
        <is>
          <t xml:space="preserve">House/Garden</t>
        </is>
      </c>
      <c r="J80" s="0" t="inlineStr">
        <is>
          <t xml:space="preserve">08:00</t>
        </is>
      </c>
      <c r="K80" s="0" t="inlineStr">
        <is>
          <t xml:space="preserve">14:00</t>
        </is>
      </c>
      <c r="L80" s="9">
        <v>6</v>
      </c>
      <c r="M80" s="9">
        <v>6</v>
      </c>
      <c r="N80" s="6"/>
      <c r="O80" s="10">
        <f>IF(N80&lt;&gt;"",N80,M80)</f>
      </c>
      <c r="P80" s="4">
        <v>450</v>
      </c>
      <c r="Q80" s="7"/>
      <c r="R80" s="5">
        <f>IF(Q80&lt;&gt;"",Q80,IF(N80&lt;&gt;"",IF(M80&gt;0,ROUND(P80*N80/M80,2),0),P80))</f>
      </c>
      <c r="S80" s="9">
        <v>75</v>
      </c>
      <c r="T80" s="0" t="inlineStr">
        <is>
          <t xml:space="preserve">OWNER CORRECTION: Owner 24 Sep: Sunday house work 08:00–14:00 = 6 h × R62,50 × 1.2 (Sunday) = 6 h × R75 = R450,00 (was R375 — Sunday ×1.2 had been left off)</t>
        </is>
      </c>
      <c r="U80" s="6"/>
    </row>
    <row r="81">
      <c r="A81" s="0">
        <v>9816</v>
      </c>
      <c r="B81" s="0" t="inlineStr">
        <is>
          <t xml:space="preserve">Takavaudza Chokuda</t>
        </is>
      </c>
      <c r="C81" s="0" t="inlineStr">
        <is>
          <t xml:space="preserve">2026-09-21</t>
        </is>
      </c>
      <c r="D81" s="0" t="inlineStr">
        <is>
          <t xml:space="preserve">Monday</t>
        </is>
      </c>
      <c r="F81" s="0" t="inlineStr">
        <is>
          <t xml:space="preserve">Warehouse</t>
        </is>
      </c>
      <c r="G81" s="0" t="inlineStr">
        <is>
          <t xml:space="preserve">Henley-onklip</t>
        </is>
      </c>
      <c r="H81" s="0" t="inlineStr">
        <is>
          <t xml:space="preserve">Fixing equipment</t>
        </is>
      </c>
      <c r="I81" s="0" t="inlineStr">
        <is>
          <t xml:space="preserve">Warehouse Team</t>
        </is>
      </c>
      <c r="J81" s="0" t="inlineStr">
        <is>
          <t xml:space="preserve">07:00</t>
        </is>
      </c>
      <c r="K81" s="0" t="inlineStr">
        <is>
          <t xml:space="preserve">16:00</t>
        </is>
      </c>
      <c r="L81" s="9">
        <v>9</v>
      </c>
      <c r="M81" s="9">
        <v>9</v>
      </c>
      <c r="N81" s="6"/>
      <c r="O81" s="10">
        <f>IF(N81&lt;&gt;"",N81,M81)</f>
      </c>
      <c r="P81" s="4">
        <v>690.63</v>
      </c>
      <c r="Q81" s="7"/>
      <c r="R81" s="5">
        <f>IF(Q81&lt;&gt;"",Q81,IF(N81&lt;&gt;"",IF(M81&gt;0,ROUND(P81*N81/M81,2),0),P81))</f>
      </c>
      <c r="S81" s="9">
        <v>81.25</v>
      </c>
      <c r="T81" s="0" t="inlineStr">
        <is>
          <t xml:space="preserve">Warehouse: 9 h − 0.5 h staff meeting 07:00–07:30 (unpaid, R40,63) = 8.5 h × R81,25</t>
        </is>
      </c>
      <c r="U81" s="6"/>
      <c r="W81" s="0" t="inlineStr">
        <is>
          <t xml:space="preserve">#9955 Crew pattern — 8 of 9 at a venue, this one says Warehouse: CREW PATTERN: 8 of 9 workers were at a venue on Mon 21 Sep 2026 (FNB Stadium, FNB strike down, Fnb stadium) — Takavaudza Chokuda says Warehouse for 9.00 h. Check he was not at the venue (R95/h would be due).</t>
        </is>
      </c>
      <c r="X81" s="0" t="inlineStr">
        <is>
          <t xml:space="preserve">#9955 DECIDED 9.00 h by Bernie Burness 2026-09-23 11:01: WAREHOUSE — R81,25/h chosen by Bernie Burness for draft #830 — will pay R690,63 when final-submitted (Warehouse: 9 h − 0.5 h staff meeting 07:00–07:30 (unpaid, R40,63) = 8.5 h × R81,25)</t>
        </is>
      </c>
    </row>
    <row r="82">
      <c r="A82" s="0">
        <v>9820</v>
      </c>
      <c r="B82" s="0" t="inlineStr">
        <is>
          <t xml:space="preserve">Takavaudza Chokuda</t>
        </is>
      </c>
      <c r="C82" s="0" t="inlineStr">
        <is>
          <t xml:space="preserve">2026-09-22</t>
        </is>
      </c>
      <c r="D82" s="0" t="inlineStr">
        <is>
          <t xml:space="preserve">Tuesday</t>
        </is>
      </c>
      <c r="F82" s="0" t="inlineStr">
        <is>
          <t xml:space="preserve">Warehouse</t>
        </is>
      </c>
      <c r="G82" s="0" t="inlineStr">
        <is>
          <t xml:space="preserve">Henley-onklip</t>
        </is>
      </c>
      <c r="H82" s="0" t="inlineStr">
        <is>
          <t xml:space="preserve">Normal</t>
        </is>
      </c>
      <c r="I82" s="0" t="inlineStr">
        <is>
          <t xml:space="preserve">Warehouse Team</t>
        </is>
      </c>
      <c r="J82" s="0" t="inlineStr">
        <is>
          <t xml:space="preserve">07:00</t>
        </is>
      </c>
      <c r="K82" s="0" t="inlineStr">
        <is>
          <t xml:space="preserve">16:00</t>
        </is>
      </c>
      <c r="L82" s="9">
        <v>9</v>
      </c>
      <c r="M82" s="9">
        <v>9</v>
      </c>
      <c r="N82" s="6"/>
      <c r="O82" s="10">
        <f>IF(N82&lt;&gt;"",N82,M82)</f>
      </c>
      <c r="P82" s="4">
        <v>690.63</v>
      </c>
      <c r="Q82" s="7"/>
      <c r="R82" s="5">
        <f>IF(Q82&lt;&gt;"",Q82,IF(N82&lt;&gt;"",IF(M82&gt;0,ROUND(P82*N82/M82,2),0),P82))</f>
      </c>
      <c r="S82" s="9">
        <v>81.25</v>
      </c>
      <c r="T82" s="0" t="inlineStr">
        <is>
          <t xml:space="preserve">Warehouse: 9 h − 0.5 h staff meeting 07:00–07:30 (unpaid, R40,63) = 8.5 h × R81,25</t>
        </is>
      </c>
      <c r="U82" s="6"/>
    </row>
    <row r="83">
      <c r="A83" s="0">
        <v>9819</v>
      </c>
      <c r="B83" s="0" t="inlineStr">
        <is>
          <t xml:space="preserve">Takavaudza Chokuda</t>
        </is>
      </c>
      <c r="C83" s="0" t="inlineStr">
        <is>
          <t xml:space="preserve">2026-09-23</t>
        </is>
      </c>
      <c r="D83" s="0" t="inlineStr">
        <is>
          <t xml:space="preserve">Wednesday</t>
        </is>
      </c>
      <c r="F83" s="0" t="inlineStr">
        <is>
          <t xml:space="preserve">Riverside</t>
        </is>
      </c>
      <c r="G83" s="0" t="inlineStr">
        <is>
          <t xml:space="preserve">The vaal</t>
        </is>
      </c>
      <c r="H83" s="0" t="inlineStr">
        <is>
          <t xml:space="preserve">Set up</t>
        </is>
      </c>
      <c r="I83" s="0" t="inlineStr">
        <is>
          <t xml:space="preserve">Warehouse Team</t>
        </is>
      </c>
      <c r="J83" s="0" t="inlineStr">
        <is>
          <t xml:space="preserve">07:00</t>
        </is>
      </c>
      <c r="K83" s="0" t="inlineStr">
        <is>
          <t xml:space="preserve">16:00</t>
        </is>
      </c>
      <c r="L83" s="9">
        <v>9</v>
      </c>
      <c r="M83" s="9">
        <v>9</v>
      </c>
      <c r="N83" s="6"/>
      <c r="O83" s="10">
        <f>IF(N83&lt;&gt;"",N83,M83)</f>
      </c>
      <c r="P83" s="4">
        <v>855</v>
      </c>
      <c r="Q83" s="7"/>
      <c r="R83" s="5">
        <f>IF(Q83&lt;&gt;"",Q83,IF(N83&lt;&gt;"",IF(M83&gt;0,ROUND(P83*N83/M83,2),0),P83))</f>
      </c>
      <c r="S83" s="9">
        <v>95</v>
      </c>
      <c r="T83" s="0" t="inlineStr">
        <is>
          <t xml:space="preserve">Venue/event: 9 h × R95</t>
        </is>
      </c>
      <c r="U83" s="6"/>
      <c r="W83" s="0" t="inlineStr">
        <is>
          <t xml:space="preserve">#10075 Warehouse claimed — but the entry names “The vaal”: WAREHOUSE CLAIMED BUT THE ENTRY NAMES “The vaal”: Takavaudza Chokuda selected Warehouse Team at “Riverside” for 9.00 h on Wed 23 Sep 2026, but wrote “The vaal” — that is a venue, not the warehouse. 6 workers were at a venue that day (Work with the Team, wharehouse, Set up vaal Boating, Riverside sun, Vaal Boating Season, Stone Haven And Riverside Sun). If he was at “The vaal”, he is due the venue rate (R95/h); if he was really in the warehouse, R81,25/h. Choose below.</t>
        </is>
      </c>
      <c r="X83" s="0" t="inlineStr">
        <is>
          <t xml:space="preserve">#10075 DECIDED by Bernie Burness 2026-09-23 11:01: Event/Venue rate chosen — shift #9819 R690,63 → R855,00 (Venue/event: 9 h × R95)</t>
        </is>
      </c>
    </row>
    <row r="84">
      <c r="A84" s="0">
        <v>9818</v>
      </c>
      <c r="B84" s="0" t="inlineStr">
        <is>
          <t xml:space="preserve">Takavaudza Chokuda</t>
        </is>
      </c>
      <c r="C84" s="0" t="inlineStr">
        <is>
          <t xml:space="preserve">2026-09-24</t>
        </is>
      </c>
      <c r="D84" s="0" t="inlineStr">
        <is>
          <t xml:space="preserve">Thursday</t>
        </is>
      </c>
      <c r="F84" s="0" t="inlineStr">
        <is>
          <t xml:space="preserve">Warehouse</t>
        </is>
      </c>
      <c r="G84" s="0" t="inlineStr">
        <is>
          <t xml:space="preserve">Henley-onklip</t>
        </is>
      </c>
      <c r="H84" s="0" t="inlineStr">
        <is>
          <t xml:space="preserve">Normal</t>
        </is>
      </c>
      <c r="I84" s="0" t="inlineStr">
        <is>
          <t xml:space="preserve">Warehouse Team</t>
        </is>
      </c>
      <c r="J84" s="0" t="inlineStr">
        <is>
          <t xml:space="preserve">07:00</t>
        </is>
      </c>
      <c r="K84" s="0" t="inlineStr">
        <is>
          <t xml:space="preserve">15:00</t>
        </is>
      </c>
      <c r="L84" s="9">
        <v>8</v>
      </c>
      <c r="M84" s="9">
        <v>8</v>
      </c>
      <c r="N84" s="6"/>
      <c r="O84" s="10">
        <f>IF(N84&lt;&gt;"",N84,M84)</f>
      </c>
      <c r="P84" s="4">
        <v>1218.75</v>
      </c>
      <c r="Q84" s="7"/>
      <c r="R84" s="5">
        <f>IF(Q84&lt;&gt;"",Q84,IF(N84&lt;&gt;"",IF(M84&gt;0,ROUND(P84*N84/M84,2),0),P84))</f>
      </c>
      <c r="S84" s="9">
        <v>162.5</v>
      </c>
      <c r="T84" s="0" t="inlineStr">
        <is>
          <t xml:space="preserve">OWNER CORRECTION: Owner 23 Sep: Heritage Day — warehouse, hours set to 07:00–15:00 (no set-ups). 7.5 h × R162,50 = R1218.75</t>
        </is>
      </c>
      <c r="U84" s="6"/>
      <c r="W84" s="0" t="inlineStr">
        <is>
          <t xml:space="preserve">#10039 Public holiday (Heritage Day) — owner to approve or decline: PUBLIC HOLIDAY — OWNER APPROVAL NEEDED: Takavaudza Chokuda worked 07:00–16:00 on 2026-09-24 (Heritage Day) at Warehouse (Warehouse Team). Public-holiday work is not paid automatically. Recommended: Warehouse public holiday (Heritage Day): 9 h × R162,50 (R81,25 × 2, no meeting deduction) = R1 462,50. R0 is paid until the owner approves or declines.</t>
        </is>
      </c>
      <c r="X84" s="0" t="inlineStr">
        <is>
          <t xml:space="preserve">#10039 DECIDED 7.50 h by Bernie Burness 2026-09-23 10:32: Public holiday (Heritage Day) approved by Bernie Burness 23 Sep — hours set to 07:00–15:00 (no set-ups): Warehouse public holiday (Heritage Day), owner set hours 07:00–15:00: 8.0 h − 0.5 h staff meeting 07:00–07:30 (unpaid) = 7.5 h × R162,50 (R81,25 × 2) = R1218.75</t>
        </is>
      </c>
    </row>
    <row r="85">
      <c r="A85" s="0">
        <v>9817</v>
      </c>
      <c r="B85" s="0" t="inlineStr">
        <is>
          <t xml:space="preserve">Takavaudza Chokuda</t>
        </is>
      </c>
      <c r="C85" s="0" t="inlineStr">
        <is>
          <t xml:space="preserve">2026-09-25</t>
        </is>
      </c>
      <c r="D85" s="0" t="inlineStr">
        <is>
          <t xml:space="preserve">Friday</t>
        </is>
      </c>
      <c r="F85" s="0" t="inlineStr">
        <is>
          <t xml:space="preserve">Warehouse</t>
        </is>
      </c>
      <c r="G85" s="0" t="inlineStr">
        <is>
          <t xml:space="preserve">Henley-onklip</t>
        </is>
      </c>
      <c r="H85" s="0" t="inlineStr">
        <is>
          <t xml:space="preserve">Normal</t>
        </is>
      </c>
      <c r="I85" s="0" t="inlineStr">
        <is>
          <t xml:space="preserve">Warehouse Team</t>
        </is>
      </c>
      <c r="J85" s="0" t="inlineStr">
        <is>
          <t xml:space="preserve">07:00</t>
        </is>
      </c>
      <c r="K85" s="0" t="inlineStr">
        <is>
          <t xml:space="preserve">16:00</t>
        </is>
      </c>
      <c r="L85" s="9">
        <v>9</v>
      </c>
      <c r="M85" s="9">
        <v>9</v>
      </c>
      <c r="N85" s="6"/>
      <c r="O85" s="10">
        <f>IF(N85&lt;&gt;"",N85,M85)</f>
      </c>
      <c r="P85" s="4">
        <v>690.63</v>
      </c>
      <c r="Q85" s="7"/>
      <c r="R85" s="5">
        <f>IF(Q85&lt;&gt;"",Q85,IF(N85&lt;&gt;"",IF(M85&gt;0,ROUND(P85*N85/M85,2),0),P85))</f>
      </c>
      <c r="S85" s="9">
        <v>81.25</v>
      </c>
      <c r="T85" s="0" t="inlineStr">
        <is>
          <t xml:space="preserve">Warehouse: 9 h − 0.5 h staff meeting 07:00–07:30 (unpaid, R40,63) = 8.5 h × R81,25</t>
        </is>
      </c>
      <c r="U85" s="6"/>
      <c r="W85" s="0" t="inlineStr">
        <is>
          <t xml:space="preserve">#10076 Crew pattern — 7 of 8 at a venue, this one says Warehouse: CREW PATTERN: 7 of 8 workers were at a venue on Fri 25 Sep 2026 (The Capital Sandton and Bonitical Emmarentia, Pretoria country club, Botanical, Vaal Boating, Riverside sun, Pretoria Country Club, Capital hotel / botanical gardens JHB) — Takavaudza Chokuda says Warehouse for 9.00 h. Check he was not at the venue (R95/h would be due).</t>
        </is>
      </c>
      <c r="X85" s="0" t="inlineStr">
        <is>
          <t xml:space="preserve">#10076 DECIDED by Bernie Burness 2026-09-23 11:01: Warehouse rate chosen — shift #9817 R690,63 → R690,63 (Warehouse: 9 h − 0.5 h staff meeting 07:00–07:30 (unpaid, R40,63) = 8.5 h × R81,25)</t>
        </is>
      </c>
    </row>
    <row r="86">
      <c r="A86" s="0">
        <v>9840</v>
      </c>
      <c r="B86" s="0" t="inlineStr">
        <is>
          <t xml:space="preserve">Thandanani Nkala</t>
        </is>
      </c>
      <c r="C86" s="0" t="inlineStr">
        <is>
          <t xml:space="preserve">2026-09-21</t>
        </is>
      </c>
      <c r="D86" s="0" t="inlineStr">
        <is>
          <t xml:space="preserve">Monday</t>
        </is>
      </c>
      <c r="F86" s="0" t="inlineStr">
        <is>
          <t xml:space="preserve">FNB Stadium and Warehouse</t>
        </is>
      </c>
      <c r="G86" s="0" t="inlineStr">
        <is>
          <t xml:space="preserve">Johannesburg / Highbury</t>
        </is>
      </c>
      <c r="H86" s="0" t="inlineStr">
        <is>
          <t xml:space="preserve">Scorpion Kings Strike Down and Offloading</t>
        </is>
      </c>
      <c r="I86" s="0" t="inlineStr">
        <is>
          <t xml:space="preserve">Normal</t>
        </is>
      </c>
      <c r="J86" s="0" t="inlineStr">
        <is>
          <t xml:space="preserve">07:00</t>
        </is>
      </c>
      <c r="K86" s="0" t="inlineStr">
        <is>
          <t xml:space="preserve">16:00</t>
        </is>
      </c>
      <c r="L86" s="9">
        <v>9</v>
      </c>
      <c r="M86" s="9">
        <v>9</v>
      </c>
      <c r="N86" s="6"/>
      <c r="O86" s="10">
        <f>IF(N86&lt;&gt;"",N86,M86)</f>
      </c>
      <c r="P86" s="4">
        <v>855</v>
      </c>
      <c r="Q86" s="7"/>
      <c r="R86" s="5">
        <f>IF(Q86&lt;&gt;"",Q86,IF(N86&lt;&gt;"",IF(M86&gt;0,ROUND(P86*N86/M86,2),0),P86))</f>
      </c>
      <c r="S86" s="9">
        <v>95</v>
      </c>
      <c r="T86" s="0" t="inlineStr">
        <is>
          <t xml:space="preserve">Venue/event: 9 h × R95</t>
        </is>
      </c>
      <c r="U86" s="6"/>
      <c r="V86" s="0" t="inlineStr">
        <is>
          <t xml:space="preserve">#10080</t>
        </is>
      </c>
    </row>
    <row r="87">
      <c r="A87" s="0">
        <v>9844</v>
      </c>
      <c r="B87" s="0" t="inlineStr">
        <is>
          <t xml:space="preserve">Thandanani Nkala</t>
        </is>
      </c>
      <c r="C87" s="0" t="inlineStr">
        <is>
          <t xml:space="preserve">2026-09-22</t>
        </is>
      </c>
      <c r="D87" s="0" t="inlineStr">
        <is>
          <t xml:space="preserve">Tuesday</t>
        </is>
      </c>
      <c r="F87" s="0" t="inlineStr">
        <is>
          <t xml:space="preserve">Warehouse</t>
        </is>
      </c>
      <c r="G87" s="0" t="inlineStr">
        <is>
          <t xml:space="preserve">Highbury</t>
        </is>
      </c>
      <c r="H87" s="0" t="inlineStr">
        <is>
          <t xml:space="preserve">Offloading ,Loading and Cleaning</t>
        </is>
      </c>
      <c r="I87" s="0" t="inlineStr">
        <is>
          <t xml:space="preserve">Normal</t>
        </is>
      </c>
      <c r="J87" s="0" t="inlineStr">
        <is>
          <t xml:space="preserve">07:00</t>
        </is>
      </c>
      <c r="K87" s="0" t="inlineStr">
        <is>
          <t xml:space="preserve">16:00</t>
        </is>
      </c>
      <c r="L87" s="9">
        <v>9</v>
      </c>
      <c r="M87" s="9">
        <v>9</v>
      </c>
      <c r="N87" s="6"/>
      <c r="O87" s="10">
        <f>IF(N87&lt;&gt;"",N87,M87)</f>
      </c>
      <c r="P87" s="4">
        <v>690.63</v>
      </c>
      <c r="Q87" s="7"/>
      <c r="R87" s="5">
        <f>IF(Q87&lt;&gt;"",Q87,IF(N87&lt;&gt;"",IF(M87&gt;0,ROUND(P87*N87/M87,2),0),P87))</f>
      </c>
      <c r="S87" s="9">
        <v>81.25</v>
      </c>
      <c r="T87" s="0" t="inlineStr">
        <is>
          <t xml:space="preserve">Warehouse: 9 h − 0.5 h staff meeting 07:00–07:30 (unpaid, R40,63) = 8.5 h × R81,25</t>
        </is>
      </c>
      <c r="U87" s="6"/>
      <c r="V87" s="0" t="inlineStr">
        <is>
          <t xml:space="preserve">#10087</t>
        </is>
      </c>
    </row>
    <row r="88">
      <c r="A88" s="0">
        <v>9843</v>
      </c>
      <c r="B88" s="0" t="inlineStr">
        <is>
          <t xml:space="preserve">Thandanani Nkala</t>
        </is>
      </c>
      <c r="C88" s="0" t="inlineStr">
        <is>
          <t xml:space="preserve">2026-09-23</t>
        </is>
      </c>
      <c r="D88" s="0" t="inlineStr">
        <is>
          <t xml:space="preserve">Wednesday</t>
        </is>
      </c>
      <c r="F88" s="0" t="inlineStr">
        <is>
          <t xml:space="preserve">Stone Haven And Riverside Sun</t>
        </is>
      </c>
      <c r="G88" s="0" t="inlineStr">
        <is>
          <t xml:space="preserve">Vanderbijlpark Vaal</t>
        </is>
      </c>
      <c r="H88" s="0" t="inlineStr">
        <is>
          <t xml:space="preserve">Set Up Castle Lager</t>
        </is>
      </c>
      <c r="I88" s="0" t="inlineStr">
        <is>
          <t xml:space="preserve">Normal</t>
        </is>
      </c>
      <c r="J88" s="0" t="inlineStr">
        <is>
          <t xml:space="preserve">07:00</t>
        </is>
      </c>
      <c r="K88" s="0" t="inlineStr">
        <is>
          <t xml:space="preserve">16:00</t>
        </is>
      </c>
      <c r="L88" s="9">
        <v>9</v>
      </c>
      <c r="M88" s="9">
        <v>9</v>
      </c>
      <c r="N88" s="6"/>
      <c r="O88" s="10">
        <f>IF(N88&lt;&gt;"",N88,M88)</f>
      </c>
      <c r="P88" s="4">
        <v>855</v>
      </c>
      <c r="Q88" s="7"/>
      <c r="R88" s="5">
        <f>IF(Q88&lt;&gt;"",Q88,IF(N88&lt;&gt;"",IF(M88&gt;0,ROUND(P88*N88/M88,2),0),P88))</f>
      </c>
      <c r="S88" s="9">
        <v>95</v>
      </c>
      <c r="T88" s="0" t="inlineStr">
        <is>
          <t xml:space="preserve">Venue/event: 9 h × R95</t>
        </is>
      </c>
      <c r="U88" s="6"/>
    </row>
    <row r="89">
      <c r="A89" s="0">
        <v>9842</v>
      </c>
      <c r="B89" s="0" t="inlineStr">
        <is>
          <t xml:space="preserve">Thandanani Nkala</t>
        </is>
      </c>
      <c r="C89" s="0" t="inlineStr">
        <is>
          <t xml:space="preserve">2026-09-24</t>
        </is>
      </c>
      <c r="D89" s="0" t="inlineStr">
        <is>
          <t xml:space="preserve">Thursday</t>
        </is>
      </c>
      <c r="F89" s="0" t="inlineStr">
        <is>
          <t xml:space="preserve">Warehouse</t>
        </is>
      </c>
      <c r="G89" s="0" t="inlineStr">
        <is>
          <t xml:space="preserve">Highbury</t>
        </is>
      </c>
      <c r="H89" s="0" t="inlineStr">
        <is>
          <t xml:space="preserve">Offloading and Loading</t>
        </is>
      </c>
      <c r="I89" s="0" t="inlineStr">
        <is>
          <t xml:space="preserve">Warehouse Team</t>
        </is>
      </c>
      <c r="J89" s="0" t="inlineStr">
        <is>
          <t xml:space="preserve">07:00</t>
        </is>
      </c>
      <c r="K89" s="0" t="inlineStr">
        <is>
          <t xml:space="preserve">15:00</t>
        </is>
      </c>
      <c r="L89" s="9">
        <v>8</v>
      </c>
      <c r="M89" s="9">
        <v>8</v>
      </c>
      <c r="N89" s="6"/>
      <c r="O89" s="10">
        <f>IF(N89&lt;&gt;"",N89,M89)</f>
      </c>
      <c r="P89" s="4">
        <v>1218.75</v>
      </c>
      <c r="Q89" s="7"/>
      <c r="R89" s="5">
        <f>IF(Q89&lt;&gt;"",Q89,IF(N89&lt;&gt;"",IF(M89&gt;0,ROUND(P89*N89/M89,2),0),P89))</f>
      </c>
      <c r="S89" s="9">
        <v>162.5</v>
      </c>
      <c r="T89" s="0" t="inlineStr">
        <is>
          <t xml:space="preserve">OWNER CORRECTION: Owner 23 Sep: Heritage Day — warehouse, hours set to 07:00–15:00 (no set-ups). 7.5 h × R162,50 = R1218.75</t>
        </is>
      </c>
      <c r="U89" s="6"/>
      <c r="V89" s="0" t="inlineStr">
        <is>
          <t xml:space="preserve">#10084</t>
        </is>
      </c>
      <c r="W89" s="0" t="inlineStr">
        <is>
          <t xml:space="preserve">#10142 Public holiday (Heritage Day) — owner to approve or decline: PUBLIC HOLIDAY — Heritage Day (24 Sep 2026): Thandanani Nkala worked 07:00–15:00. Held for owner approval.</t>
        </is>
      </c>
      <c r="X89" s="0" t="inlineStr">
        <is>
          <t xml:space="preserve">#10142 DECIDED 7.50 h by Bernie Burness 2026-09-23 10:32: Public holiday (Heritage Day) approved by Bernie Burness 23 Sep — hours set to 07:00–15:00 (no set-ups): Warehouse public holiday (Heritage Day), owner set hours 07:00–15:00: 8.0 h − 0.5 h staff meeting 07:00–07:30 (unpaid) = 7.5 h × R162,50 (R81,25 × 2) = R1218.75</t>
        </is>
      </c>
    </row>
    <row r="90">
      <c r="A90" s="0">
        <v>9841</v>
      </c>
      <c r="B90" s="0" t="inlineStr">
        <is>
          <t xml:space="preserve">Thandanani Nkala</t>
        </is>
      </c>
      <c r="C90" s="0" t="inlineStr">
        <is>
          <t xml:space="preserve">2026-09-25</t>
        </is>
      </c>
      <c r="D90" s="0" t="inlineStr">
        <is>
          <t xml:space="preserve">Friday</t>
        </is>
      </c>
      <c r="F90" s="0" t="inlineStr">
        <is>
          <t xml:space="preserve">Warehouse</t>
        </is>
      </c>
      <c r="G90" s="0" t="inlineStr">
        <is>
          <t xml:space="preserve">Highbury</t>
        </is>
      </c>
      <c r="H90" s="0" t="inlineStr">
        <is>
          <t xml:space="preserve">Offloading and Loading</t>
        </is>
      </c>
      <c r="I90" s="0" t="inlineStr">
        <is>
          <t xml:space="preserve">Normal</t>
        </is>
      </c>
      <c r="J90" s="0" t="inlineStr">
        <is>
          <t xml:space="preserve">07:00</t>
        </is>
      </c>
      <c r="K90" s="0" t="inlineStr">
        <is>
          <t xml:space="preserve">16:00</t>
        </is>
      </c>
      <c r="L90" s="9">
        <v>9</v>
      </c>
      <c r="M90" s="9">
        <v>9</v>
      </c>
      <c r="N90" s="6"/>
      <c r="O90" s="10">
        <f>IF(N90&lt;&gt;"",N90,M90)</f>
      </c>
      <c r="P90" s="4">
        <v>690.63</v>
      </c>
      <c r="Q90" s="7"/>
      <c r="R90" s="5">
        <f>IF(Q90&lt;&gt;"",Q90,IF(N90&lt;&gt;"",IF(M90&gt;0,ROUND(P90*N90/M90,2),0),P90))</f>
      </c>
      <c r="S90" s="9">
        <v>81.25</v>
      </c>
      <c r="T90" s="0" t="inlineStr">
        <is>
          <t xml:space="preserve">Warehouse: 9 h − 0.5 h staff meeting 07:00–07:30 (unpaid, R40,63) = 8.5 h × R81,25</t>
        </is>
      </c>
      <c r="U90" s="6"/>
      <c r="V90" s="0" t="inlineStr">
        <is>
          <t xml:space="preserve">#10082</t>
        </is>
      </c>
    </row>
    <row r="91">
      <c r="A91" s="0">
        <v>9796</v>
      </c>
      <c r="B91" s="0" t="inlineStr">
        <is>
          <t xml:space="preserve">Thina Dyani</t>
        </is>
      </c>
      <c r="C91" s="0" t="inlineStr">
        <is>
          <t xml:space="preserve">2026-09-17</t>
        </is>
      </c>
      <c r="D91" s="0" t="inlineStr">
        <is>
          <t xml:space="preserve">Thursday</t>
        </is>
      </c>
      <c r="E91" s="0" t="inlineStr">
        <is>
          <t xml:space="preserve">YES</t>
        </is>
      </c>
      <c r="F91" s="0" t="inlineStr">
        <is>
          <t xml:space="preserve">Additional 5 hour shift - 17/09/2026 Parys Golf Day</t>
        </is>
      </c>
      <c r="G91" s="0" t="inlineStr">
        <is>
          <t xml:space="preserve">Parys</t>
        </is>
      </c>
      <c r="H91" s="0" t="inlineStr">
        <is>
          <t xml:space="preserve">Strike down</t>
        </is>
      </c>
      <c r="I91" s="0" t="inlineStr">
        <is>
          <t xml:space="preserve">Normal</t>
        </is>
      </c>
      <c r="J91" s="0" t="inlineStr">
        <is>
          <t xml:space="preserve">16:00</t>
        </is>
      </c>
      <c r="K91" s="0" t="inlineStr">
        <is>
          <t xml:space="preserve">21:00</t>
        </is>
      </c>
      <c r="L91" s="9">
        <v>5</v>
      </c>
      <c r="M91" s="9">
        <v>5</v>
      </c>
      <c r="N91" s="6"/>
      <c r="O91" s="10">
        <f>IF(N91&lt;&gt;"",N91,M91)</f>
      </c>
      <c r="P91" s="4">
        <v>475</v>
      </c>
      <c r="Q91" s="7"/>
      <c r="R91" s="5">
        <f>IF(Q91&lt;&gt;"",Q91,IF(N91&lt;&gt;"",IF(M91&gt;0,ROUND(P91*N91/M91,2),0),P91))</f>
      </c>
      <c r="S91" s="9">
        <v>95</v>
      </c>
      <c r="T91" s="0" t="inlineStr">
        <is>
          <t xml:space="preserve">Venue/event: 5 h × R95</t>
        </is>
      </c>
      <c r="U91" s="6"/>
      <c r="W91" s="0" t="inlineStr">
        <is>
          <t xml:space="preserve">CLEAR: nothing else paid for this day.</t>
        </is>
      </c>
      <c r="X91" s="0" t="inlineStr">
        <is>
          <t xml:space="preserve">No review needed</t>
        </is>
      </c>
    </row>
    <row r="92">
      <c r="A92" s="0">
        <v>9802</v>
      </c>
      <c r="B92" s="0" t="inlineStr">
        <is>
          <t xml:space="preserve">Tsotlego Petrus Malakoane</t>
        </is>
      </c>
      <c r="C92" s="0" t="inlineStr">
        <is>
          <t xml:space="preserve">2026-09-19</t>
        </is>
      </c>
      <c r="D92" s="0" t="inlineStr">
        <is>
          <t xml:space="preserve">Saturday</t>
        </is>
      </c>
      <c r="F92" s="0" t="inlineStr">
        <is>
          <t xml:space="preserve">Warehouse</t>
        </is>
      </c>
      <c r="G92" s="0" t="inlineStr">
        <is>
          <t xml:space="preserve">Henley on klip</t>
        </is>
      </c>
      <c r="H92" s="0" t="inlineStr">
        <is>
          <t xml:space="preserve">Cleaning and re-packing</t>
        </is>
      </c>
      <c r="I92" s="0" t="inlineStr">
        <is>
          <t xml:space="preserve">Normal</t>
        </is>
      </c>
      <c r="J92" s="0" t="inlineStr">
        <is>
          <t xml:space="preserve">06:45</t>
        </is>
      </c>
      <c r="K92" s="0" t="inlineStr">
        <is>
          <t xml:space="preserve">12:00</t>
        </is>
      </c>
      <c r="L92" s="9">
        <v>5.25</v>
      </c>
      <c r="M92" s="9">
        <v>5.25</v>
      </c>
      <c r="N92" s="6"/>
      <c r="O92" s="10">
        <f>IF(N92&lt;&gt;"",N92,M92)</f>
      </c>
      <c r="P92" s="4">
        <v>640</v>
      </c>
      <c r="Q92" s="7"/>
      <c r="R92" s="5">
        <f>IF(Q92&lt;&gt;"",Q92,IF(N92&lt;&gt;"",IF(M92&gt;0,ROUND(P92*N92/M92,2),0),P92))</f>
      </c>
      <c r="S92" s="9">
        <v>80</v>
      </c>
      <c r="T92" s="0" t="inlineStr">
        <is>
          <t xml:space="preserve">Petrus Saturday: R640 set day rate (06–16)</t>
        </is>
      </c>
      <c r="U92" s="6"/>
    </row>
    <row r="93">
      <c r="A93" s="0">
        <v>9803</v>
      </c>
      <c r="B93" s="0" t="inlineStr">
        <is>
          <t xml:space="preserve">Tsotlego Petrus Malakoane</t>
        </is>
      </c>
      <c r="C93" s="0" t="inlineStr">
        <is>
          <t xml:space="preserve">2026-09-21</t>
        </is>
      </c>
      <c r="D93" s="0" t="inlineStr">
        <is>
          <t xml:space="preserve">Monday</t>
        </is>
      </c>
      <c r="F93" s="0" t="inlineStr">
        <is>
          <t xml:space="preserve">Warehouse</t>
        </is>
      </c>
      <c r="G93" s="0" t="inlineStr">
        <is>
          <t xml:space="preserve">Henley on klip</t>
        </is>
      </c>
      <c r="H93" s="0" t="inlineStr">
        <is>
          <t xml:space="preserve">Loading, offloading &amp; recieving</t>
        </is>
      </c>
      <c r="I93" s="0" t="inlineStr">
        <is>
          <t xml:space="preserve">Warehouse Team</t>
        </is>
      </c>
      <c r="J93" s="0" t="inlineStr">
        <is>
          <t xml:space="preserve">06:30</t>
        </is>
      </c>
      <c r="K93" s="0" t="inlineStr">
        <is>
          <t xml:space="preserve">16:00</t>
        </is>
      </c>
      <c r="L93" s="9">
        <v>9.5</v>
      </c>
      <c r="M93" s="9">
        <v>9.5</v>
      </c>
      <c r="N93" s="6"/>
      <c r="O93" s="10">
        <f>IF(N93&lt;&gt;"",N93,M93)</f>
      </c>
      <c r="P93" s="4">
        <v>640</v>
      </c>
      <c r="Q93" s="7"/>
      <c r="R93" s="5">
        <f>IF(Q93&lt;&gt;"",Q93,IF(N93&lt;&gt;"",IF(M93&gt;0,ROUND(P93*N93/M93,2),0),P93))</f>
      </c>
      <c r="S93" s="9">
        <v>55</v>
      </c>
      <c r="T93" s="0" t="inlineStr">
        <is>
          <t xml:space="preserve">Petrus weekday: R640 set day rate (06–16)</t>
        </is>
      </c>
      <c r="U93" s="6"/>
    </row>
    <row r="94">
      <c r="A94" s="0">
        <v>9804</v>
      </c>
      <c r="B94" s="0" t="inlineStr">
        <is>
          <t xml:space="preserve">Tsotlego Petrus Malakoane</t>
        </is>
      </c>
      <c r="C94" s="0" t="inlineStr">
        <is>
          <t xml:space="preserve">2026-09-22</t>
        </is>
      </c>
      <c r="D94" s="0" t="inlineStr">
        <is>
          <t xml:space="preserve">Tuesday</t>
        </is>
      </c>
      <c r="F94" s="0" t="inlineStr">
        <is>
          <t xml:space="preserve">Warehouse</t>
        </is>
      </c>
      <c r="G94" s="0" t="inlineStr">
        <is>
          <t xml:space="preserve">Henley on klip</t>
        </is>
      </c>
      <c r="H94" s="0" t="inlineStr">
        <is>
          <t xml:space="preserve">Loading, washing of Gazebos and recieving</t>
        </is>
      </c>
      <c r="I94" s="0" t="inlineStr">
        <is>
          <t xml:space="preserve">Warehouse Team</t>
        </is>
      </c>
      <c r="J94" s="0" t="inlineStr">
        <is>
          <t xml:space="preserve">06:30</t>
        </is>
      </c>
      <c r="K94" s="0" t="inlineStr">
        <is>
          <t xml:space="preserve">16:00</t>
        </is>
      </c>
      <c r="L94" s="9">
        <v>9.5</v>
      </c>
      <c r="M94" s="9">
        <v>9.5</v>
      </c>
      <c r="N94" s="6"/>
      <c r="O94" s="10">
        <f>IF(N94&lt;&gt;"",N94,M94)</f>
      </c>
      <c r="P94" s="4">
        <v>640</v>
      </c>
      <c r="Q94" s="7"/>
      <c r="R94" s="5">
        <f>IF(Q94&lt;&gt;"",Q94,IF(N94&lt;&gt;"",IF(M94&gt;0,ROUND(P94*N94/M94,2),0),P94))</f>
      </c>
      <c r="S94" s="9">
        <v>55</v>
      </c>
      <c r="T94" s="0" t="inlineStr">
        <is>
          <t xml:space="preserve">Petrus weekday: R640 set day rate (06–16)</t>
        </is>
      </c>
      <c r="U94" s="6"/>
    </row>
    <row r="95">
      <c r="A95" s="0">
        <v>9810</v>
      </c>
      <c r="B95" s="0" t="inlineStr">
        <is>
          <t xml:space="preserve">Tsotlego Petrus Malakoane</t>
        </is>
      </c>
      <c r="C95" s="0" t="inlineStr">
        <is>
          <t xml:space="preserve">2026-09-23</t>
        </is>
      </c>
      <c r="D95" s="0" t="inlineStr">
        <is>
          <t xml:space="preserve">Wednesday</t>
        </is>
      </c>
      <c r="F95" s="0" t="inlineStr">
        <is>
          <t xml:space="preserve">Warehouse</t>
        </is>
      </c>
      <c r="G95" s="0" t="inlineStr">
        <is>
          <t xml:space="preserve">Henley on klip</t>
        </is>
      </c>
      <c r="H95" s="0" t="inlineStr">
        <is>
          <t xml:space="preserve">Packing &amp; Loading and re-packing</t>
        </is>
      </c>
      <c r="I95" s="0" t="inlineStr">
        <is>
          <t xml:space="preserve">Normal</t>
        </is>
      </c>
      <c r="J95" s="0" t="inlineStr">
        <is>
          <t xml:space="preserve">06:30</t>
        </is>
      </c>
      <c r="K95" s="0" t="inlineStr">
        <is>
          <t xml:space="preserve">16:00</t>
        </is>
      </c>
      <c r="L95" s="9">
        <v>9.5</v>
      </c>
      <c r="M95" s="9">
        <v>9.5</v>
      </c>
      <c r="N95" s="6"/>
      <c r="O95" s="10">
        <f>IF(N95&lt;&gt;"",N95,M95)</f>
      </c>
      <c r="P95" s="4">
        <v>640</v>
      </c>
      <c r="Q95" s="7"/>
      <c r="R95" s="5">
        <f>IF(Q95&lt;&gt;"",Q95,IF(N95&lt;&gt;"",IF(M95&gt;0,ROUND(P95*N95/M95,2),0),P95))</f>
      </c>
      <c r="S95" s="9">
        <v>55</v>
      </c>
      <c r="T95" s="0" t="inlineStr">
        <is>
          <t xml:space="preserve">Petrus weekday: R640 set day rate (06–16)</t>
        </is>
      </c>
      <c r="U95" s="6"/>
    </row>
    <row r="96">
      <c r="A96" s="0">
        <v>9813</v>
      </c>
      <c r="B96" s="0" t="inlineStr">
        <is>
          <t xml:space="preserve">Tsotlego Petrus Malakoane</t>
        </is>
      </c>
      <c r="C96" s="0" t="inlineStr">
        <is>
          <t xml:space="preserve">2026-09-24</t>
        </is>
      </c>
      <c r="D96" s="0" t="inlineStr">
        <is>
          <t xml:space="preserve">Thursday</t>
        </is>
      </c>
      <c r="F96" s="0" t="inlineStr">
        <is>
          <t xml:space="preserve">Warehouse</t>
        </is>
      </c>
      <c r="G96" s="0" t="inlineStr">
        <is>
          <t xml:space="preserve">Henley on klip</t>
        </is>
      </c>
      <c r="H96" s="0" t="inlineStr">
        <is>
          <t xml:space="preserve">Cleaning &amp; repacking</t>
        </is>
      </c>
      <c r="I96" s="0" t="inlineStr">
        <is>
          <t xml:space="preserve">Normal</t>
        </is>
      </c>
      <c r="J96" s="0" t="inlineStr">
        <is>
          <t xml:space="preserve">06:30</t>
        </is>
      </c>
      <c r="K96" s="0" t="inlineStr">
        <is>
          <t xml:space="preserve">14:00</t>
        </is>
      </c>
      <c r="L96" s="9">
        <v>7.5</v>
      </c>
      <c r="M96" s="9">
        <v>7.5</v>
      </c>
      <c r="N96" s="6"/>
      <c r="O96" s="10">
        <f>IF(N96&lt;&gt;"",N96,M96)</f>
      </c>
      <c r="P96" s="4">
        <v>1120</v>
      </c>
      <c r="Q96" s="7"/>
      <c r="R96" s="5">
        <f>IF(Q96&lt;&gt;"",Q96,IF(N96&lt;&gt;"",IF(M96&gt;0,ROUND(P96*N96/M96,2),0),P96))</f>
      </c>
      <c r="S96" s="9">
        <v>160</v>
      </c>
      <c r="T96" s="0" t="inlineStr">
        <is>
          <t xml:space="preserve">OWNER CORRECTION: Owner 23 Sep: Heritage Day hours set to 06:30–14:00 (owner: worked till about 14:00 — TRIPLE-CHECK next week). 7.5 h − 0.5 h meeting = 7 h × R160 = R1 120</t>
        </is>
      </c>
      <c r="U96" s="6"/>
      <c r="W96" s="0" t="inlineStr">
        <is>
          <t xml:space="preserve">#10033 Public holiday (Heritage Day) — owner to approve or decline: PUBLIC HOLIDAY — OWNER APPROVAL NEEDED: Tsotlego Petrus Malakoane worked 06:30–16:00 on 2026-09-24 (Heritage Day) at Warehouse (Normal). Public-holiday work is not paid automatically. Recommended: Petrus public holiday (Heritage Day): no fixed day — 9.5 h × R160 (R80 × 2) = R1 520,00. R0 is paid until the owner approves or declines.</t>
        </is>
      </c>
      <c r="X96" s="0" t="inlineStr">
        <is>
          <t xml:space="preserve">#10033 DECIDED 7.00 h by Bernie Burness 2026-09-23 11:02: Public holiday (Heritage Day) approved by Bernie Burness 23 Sep — hours set to 06:30–14:00, meeting deducted: 7 h × R160 = R1 120,00. Owner not 100% sure of the end time — CONFIRM NEXT WEEK.</t>
        </is>
      </c>
    </row>
    <row r="97">
      <c r="A97" s="0">
        <v>9814</v>
      </c>
      <c r="B97" s="0" t="inlineStr">
        <is>
          <t xml:space="preserve">Tsotlego Petrus Malakoane</t>
        </is>
      </c>
      <c r="C97" s="0" t="inlineStr">
        <is>
          <t xml:space="preserve">2026-09-25</t>
        </is>
      </c>
      <c r="D97" s="0" t="inlineStr">
        <is>
          <t xml:space="preserve">Friday</t>
        </is>
      </c>
      <c r="F97" s="0" t="inlineStr">
        <is>
          <t xml:space="preserve">Warehouse</t>
        </is>
      </c>
      <c r="G97" s="0" t="inlineStr">
        <is>
          <t xml:space="preserve">Henley on klip</t>
        </is>
      </c>
      <c r="H97" s="0" t="inlineStr">
        <is>
          <t xml:space="preserve">Dispatch of a collection for a client</t>
        </is>
      </c>
      <c r="I97" s="0" t="inlineStr">
        <is>
          <t xml:space="preserve">Normal</t>
        </is>
      </c>
      <c r="J97" s="0" t="inlineStr">
        <is>
          <t xml:space="preserve">06:30</t>
        </is>
      </c>
      <c r="K97" s="0" t="inlineStr">
        <is>
          <t xml:space="preserve">16:00</t>
        </is>
      </c>
      <c r="L97" s="9">
        <v>9.5</v>
      </c>
      <c r="M97" s="9">
        <v>9.5</v>
      </c>
      <c r="N97" s="6"/>
      <c r="O97" s="10">
        <f>IF(N97&lt;&gt;"",N97,M97)</f>
      </c>
      <c r="P97" s="4">
        <v>640</v>
      </c>
      <c r="Q97" s="7"/>
      <c r="R97" s="5">
        <f>IF(Q97&lt;&gt;"",Q97,IF(N97&lt;&gt;"",IF(M97&gt;0,ROUND(P97*N97/M97,2),0),P97))</f>
      </c>
      <c r="S97" s="9">
        <v>55</v>
      </c>
      <c r="T97" s="0" t="inlineStr">
        <is>
          <t xml:space="preserve">Petrus weekday: R640 set day rate (06–16)</t>
        </is>
      </c>
      <c r="U97" s="6"/>
    </row>
    <row r="99">
      <c r="A99" s="1" t="inlineStr">
        <is>
          <t xml:space="preserve">GRAND TOTAL</t>
        </is>
      </c>
      <c r="L99" s="10">
        <f>SUM(L5:L97)</f>
      </c>
      <c r="M99" s="10">
        <f>SUM(M5:M97)</f>
      </c>
      <c r="O99" s="10">
        <f>SUM(O5:O97)</f>
      </c>
      <c r="P99" s="5">
        <f>SUM(P5:P97)</f>
      </c>
      <c r="R99" s="5">
        <f>SUM(R5:R97)</f>
      </c>
    </row>
  </sheetData>
  <mergeCells count="2">
    <mergeCell ref="A1:X1"/>
    <mergeCell ref="A2:X2"/>
  </mergeCells>
</worksheet>
</file>

<file path=xl/worksheets/sheet2.xml><?xml version="1.0" encoding="utf-8"?>
<worksheet xmlns="http://schemas.openxmlformats.org/spreadsheetml/2006/main" xmlns:r="http://schemas.openxmlformats.org/officeDocument/2006/relationships">
  <sheetViews>
    <sheetView workbookViewId="0">
      <pane ySplit="3" topLeftCell="A4" activePane="bottomLeft" state="frozen"/>
    </sheetView>
  </sheetViews>
  <cols>
    <col min="1" max="1" width="26" customWidth="1"/>
    <col min="2" max="2" width="6" customWidth="1"/>
    <col min="3" max="3" width="10" customWidth="1"/>
    <col min="4" max="4" width="6" customWidth="1"/>
    <col min="5" max="5" width="10" customWidth="1"/>
    <col min="6" max="6" width="6" customWidth="1"/>
    <col min="7" max="7" width="10" customWidth="1"/>
    <col min="8" max="8" width="6" customWidth="1"/>
    <col min="9" max="9" width="10" customWidth="1"/>
    <col min="10" max="10" width="6" customWidth="1"/>
    <col min="11" max="11" width="10" customWidth="1"/>
    <col min="12" max="12" width="6" customWidth="1"/>
    <col min="13" max="13" width="10" customWidth="1"/>
    <col min="14" max="14" width="6" customWidth="1"/>
    <col min="15" max="15" width="10" customWidth="1"/>
    <col min="16" max="16" width="7" customWidth="1"/>
    <col min="17" max="17" width="11" customWidth="1"/>
    <col min="18" max="18" width="11" customWidth="1"/>
    <col min="19" max="19" width="12"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2" customWidth="1"/>
  </cols>
  <sheetData>
    <row r="1">
      <c r="A1" s="2" t="inlineStr">
        <is>
          <t xml:space="preserve">Employee</t>
        </is>
      </c>
      <c r="B1" s="2" t="inlineStr">
        <is>
          <t xml:space="preserve">1  Sat</t>
        </is>
      </c>
      <c r="C1" s="2"/>
      <c r="D1" s="2" t="inlineStr">
        <is>
          <t xml:space="preserve">2  Sun</t>
        </is>
      </c>
      <c r="E1" s="2"/>
      <c r="F1" s="2" t="inlineStr">
        <is>
          <t xml:space="preserve">3  Mon</t>
        </is>
      </c>
      <c r="G1" s="2"/>
      <c r="H1" s="2" t="inlineStr">
        <is>
          <t xml:space="preserve">4  Tue</t>
        </is>
      </c>
      <c r="I1" s="2"/>
      <c r="J1" s="2" t="inlineStr">
        <is>
          <t xml:space="preserve">5  Wed</t>
        </is>
      </c>
      <c r="K1" s="2"/>
      <c r="L1" s="2" t="inlineStr">
        <is>
          <t xml:space="preserve">6  Thu</t>
        </is>
      </c>
      <c r="M1" s="2"/>
      <c r="N1" s="2" t="inlineStr">
        <is>
          <t xml:space="preserve">7  Fri</t>
        </is>
      </c>
      <c r="O1" s="2"/>
      <c r="P1" s="2" t="inlineStr">
        <is>
          <t xml:space="preserve">6  MISSED SHIFTS</t>
        </is>
      </c>
      <c r="Q1" s="2"/>
      <c r="R1" s="2" t="inlineStr">
        <is>
          <t xml:space="preserve">Total Hours (Sat–Fri + Missed)</t>
        </is>
      </c>
      <c r="S1" s="2" t="inlineStr">
        <is>
          <t xml:space="preserve">Wages (linked)</t>
        </is>
      </c>
      <c r="T1" s="2" t="inlineStr">
        <is>
          <t xml:space="preserve">Fixed Deductions Due</t>
        </is>
      </c>
      <c r="U1" s="2" t="inlineStr">
        <is>
          <t xml:space="preserve">Fixed Deducted (edit)</t>
        </is>
      </c>
      <c r="V1" s="2" t="inlineStr">
        <is>
          <t xml:space="preserve">Fixed Outstanding After Payroll</t>
        </is>
      </c>
      <c r="W1" s="2" t="inlineStr">
        <is>
          <t xml:space="preserve">Additional Loan Due</t>
        </is>
      </c>
      <c r="X1" s="2" t="inlineStr">
        <is>
          <t xml:space="preserve">Additional Loan Deducted (edit)</t>
        </is>
      </c>
      <c r="Y1" s="2" t="inlineStr">
        <is>
          <t xml:space="preserve">Additional Loan Outstanding After Payroll</t>
        </is>
      </c>
      <c r="Z1" s="2" t="inlineStr">
        <is>
          <t xml:space="preserve">Total Deducted This Period</t>
        </is>
      </c>
      <c r="AA1" s="2" t="inlineStr">
        <is>
          <t xml:space="preserve">NET WAGE</t>
        </is>
      </c>
    </row>
    <row r="2">
      <c r="A2" s="2"/>
      <c r="B2" s="2" t="inlineStr">
        <is>
          <t xml:space="preserve">2026-09-19</t>
        </is>
      </c>
      <c r="C2" s="2"/>
      <c r="D2" s="2" t="inlineStr">
        <is>
          <t xml:space="preserve">2026-09-20</t>
        </is>
      </c>
      <c r="E2" s="2"/>
      <c r="F2" s="2" t="inlineStr">
        <is>
          <t xml:space="preserve">2026-09-21</t>
        </is>
      </c>
      <c r="G2" s="2"/>
      <c r="H2" s="2" t="inlineStr">
        <is>
          <t xml:space="preserve">2026-09-22</t>
        </is>
      </c>
      <c r="I2" s="2"/>
      <c r="J2" s="2" t="inlineStr">
        <is>
          <t xml:space="preserve">2026-09-23</t>
        </is>
      </c>
      <c r="K2" s="2"/>
      <c r="L2" s="2" t="inlineStr">
        <is>
          <t xml:space="preserve">2026-09-24</t>
        </is>
      </c>
      <c r="M2" s="2"/>
      <c r="N2" s="2" t="inlineStr">
        <is>
          <t xml:space="preserve">2026-09-25</t>
        </is>
      </c>
      <c r="O2" s="2"/>
      <c r="P2" s="2" t="inlineStr">
        <is>
          <t xml:space="preserve">previous payroll, approved</t>
        </is>
      </c>
      <c r="Q2" s="2"/>
      <c r="R2" s="2"/>
      <c r="S2" s="2"/>
      <c r="T2" s="2"/>
      <c r="U2" s="2"/>
      <c r="V2" s="2"/>
      <c r="W2" s="2"/>
      <c r="X2" s="2"/>
      <c r="Y2" s="2"/>
      <c r="Z2" s="2"/>
      <c r="AA2" s="2"/>
    </row>
    <row r="3">
      <c r="A3" s="2"/>
      <c r="B3" s="2" t="inlineStr">
        <is>
          <t xml:space="preserve">HR</t>
        </is>
      </c>
      <c r="C3" s="2" t="inlineStr">
        <is>
          <t xml:space="preserve">Amount</t>
        </is>
      </c>
      <c r="D3" s="2" t="inlineStr">
        <is>
          <t xml:space="preserve">HR</t>
        </is>
      </c>
      <c r="E3" s="2" t="inlineStr">
        <is>
          <t xml:space="preserve">Amount</t>
        </is>
      </c>
      <c r="F3" s="2" t="inlineStr">
        <is>
          <t xml:space="preserve">HR</t>
        </is>
      </c>
      <c r="G3" s="2" t="inlineStr">
        <is>
          <t xml:space="preserve">Amount</t>
        </is>
      </c>
      <c r="H3" s="2" t="inlineStr">
        <is>
          <t xml:space="preserve">HR</t>
        </is>
      </c>
      <c r="I3" s="2" t="inlineStr">
        <is>
          <t xml:space="preserve">Amount</t>
        </is>
      </c>
      <c r="J3" s="2" t="inlineStr">
        <is>
          <t xml:space="preserve">HR</t>
        </is>
      </c>
      <c r="K3" s="2" t="inlineStr">
        <is>
          <t xml:space="preserve">Amount</t>
        </is>
      </c>
      <c r="L3" s="2" t="inlineStr">
        <is>
          <t xml:space="preserve">HR</t>
        </is>
      </c>
      <c r="M3" s="2" t="inlineStr">
        <is>
          <t xml:space="preserve">Amount</t>
        </is>
      </c>
      <c r="N3" s="2" t="inlineStr">
        <is>
          <t xml:space="preserve">HR</t>
        </is>
      </c>
      <c r="O3" s="2" t="inlineStr">
        <is>
          <t xml:space="preserve">Amount</t>
        </is>
      </c>
      <c r="P3" s="2" t="inlineStr">
        <is>
          <t xml:space="preserve">HR</t>
        </is>
      </c>
      <c r="Q3" s="2" t="inlineStr">
        <is>
          <t xml:space="preserve">Amount</t>
        </is>
      </c>
      <c r="R3" s="2"/>
      <c r="S3" s="2"/>
      <c r="T3" s="2"/>
      <c r="U3" s="2"/>
      <c r="V3" s="2"/>
      <c r="W3" s="2"/>
      <c r="X3" s="2"/>
      <c r="Y3" s="2"/>
      <c r="Z3" s="2"/>
      <c r="AA3" s="2"/>
    </row>
    <row r="4">
      <c r="A4" s="1" t="inlineStr">
        <is>
          <t xml:space="preserve">Bhekizitha Maphosa</t>
        </is>
      </c>
      <c r="B4" s="16">
        <f>SUMIFS('Wage Detail Linked'!$O$5:$O$97,'Wage Detail Linked'!$B$5:$B$97,$A4,'Wage Detail Linked'!$C$5:$C$97,B$2,'Wage Detail Linked'!$E$5:$E$97,"")</f>
      </c>
      <c r="C4" s="4">
        <f>IF(SUMIFS('Wage Detail Linked'!$O$5:$O$97,'Wage Detail Linked'!$B$5:$B$97,$A4,'Wage Detail Linked'!$C$5:$C$97,B$2,'Wage Detail Linked'!$E$5:$E$97,"")=0,IF(B4&gt;0,ROUND(B4*90,2),0),ROUND(SUMIFS('Wage Detail Linked'!$R$5:$R$97,'Wage Detail Linked'!$B$5:$B$97,$A4,'Wage Detail Linked'!$C$5:$C$97,B$2,'Wage Detail Linked'!$E$5:$E$97,"")*B4/SUMIFS('Wage Detail Linked'!$O$5:$O$97,'Wage Detail Linked'!$B$5:$B$97,$A4,'Wage Detail Linked'!$C$5:$C$97,B$2,'Wage Detail Linked'!$E$5:$E$97,""),2))</f>
      </c>
      <c r="D4" s="16">
        <f>SUMIFS('Wage Detail Linked'!$O$5:$O$97,'Wage Detail Linked'!$B$5:$B$97,$A4,'Wage Detail Linked'!$C$5:$C$97,D$2,'Wage Detail Linked'!$E$5:$E$97,"")</f>
      </c>
      <c r="E4" s="4">
        <f>IF(SUMIFS('Wage Detail Linked'!$O$5:$O$97,'Wage Detail Linked'!$B$5:$B$97,$A4,'Wage Detail Linked'!$C$5:$C$97,D$2,'Wage Detail Linked'!$E$5:$E$97,"")=0,IF(D4&gt;0,ROUND(D4*90,2),0),ROUND(SUMIFS('Wage Detail Linked'!$R$5:$R$97,'Wage Detail Linked'!$B$5:$B$97,$A4,'Wage Detail Linked'!$C$5:$C$97,D$2,'Wage Detail Linked'!$E$5:$E$97,"")*D4/SUMIFS('Wage Detail Linked'!$O$5:$O$97,'Wage Detail Linked'!$B$5:$B$97,$A4,'Wage Detail Linked'!$C$5:$C$97,D$2,'Wage Detail Linked'!$E$5:$E$97,""),2))</f>
      </c>
      <c r="F4" s="16">
        <f>SUMIFS('Wage Detail Linked'!$O$5:$O$97,'Wage Detail Linked'!$B$5:$B$97,$A4,'Wage Detail Linked'!$C$5:$C$97,F$2,'Wage Detail Linked'!$E$5:$E$97,"")</f>
      </c>
      <c r="G4" s="4">
        <f>IF(SUMIFS('Wage Detail Linked'!$O$5:$O$97,'Wage Detail Linked'!$B$5:$B$97,$A4,'Wage Detail Linked'!$C$5:$C$97,F$2,'Wage Detail Linked'!$E$5:$E$97,"")=0,IF(F4&gt;0,ROUND(F4*90,2),0),ROUND(SUMIFS('Wage Detail Linked'!$R$5:$R$97,'Wage Detail Linked'!$B$5:$B$97,$A4,'Wage Detail Linked'!$C$5:$C$97,F$2,'Wage Detail Linked'!$E$5:$E$97,"")*F4/SUMIFS('Wage Detail Linked'!$O$5:$O$97,'Wage Detail Linked'!$B$5:$B$97,$A4,'Wage Detail Linked'!$C$5:$C$97,F$2,'Wage Detail Linked'!$E$5:$E$97,""),2))</f>
      </c>
      <c r="H4" s="16">
        <f>SUMIFS('Wage Detail Linked'!$O$5:$O$97,'Wage Detail Linked'!$B$5:$B$97,$A4,'Wage Detail Linked'!$C$5:$C$97,H$2,'Wage Detail Linked'!$E$5:$E$97,"")</f>
      </c>
      <c r="I4" s="4">
        <f>IF(SUMIFS('Wage Detail Linked'!$O$5:$O$97,'Wage Detail Linked'!$B$5:$B$97,$A4,'Wage Detail Linked'!$C$5:$C$97,H$2,'Wage Detail Linked'!$E$5:$E$97,"")=0,IF(H4&gt;0,ROUND(H4*90,2),0),ROUND(SUMIFS('Wage Detail Linked'!$R$5:$R$97,'Wage Detail Linked'!$B$5:$B$97,$A4,'Wage Detail Linked'!$C$5:$C$97,H$2,'Wage Detail Linked'!$E$5:$E$97,"")*H4/SUMIFS('Wage Detail Linked'!$O$5:$O$97,'Wage Detail Linked'!$B$5:$B$97,$A4,'Wage Detail Linked'!$C$5:$C$97,H$2,'Wage Detail Linked'!$E$5:$E$97,""),2))</f>
      </c>
      <c r="J4" s="16">
        <f>SUMIFS('Wage Detail Linked'!$O$5:$O$97,'Wage Detail Linked'!$B$5:$B$97,$A4,'Wage Detail Linked'!$C$5:$C$97,J$2,'Wage Detail Linked'!$E$5:$E$97,"")</f>
      </c>
      <c r="K4" s="4">
        <f>IF(SUMIFS('Wage Detail Linked'!$O$5:$O$97,'Wage Detail Linked'!$B$5:$B$97,$A4,'Wage Detail Linked'!$C$5:$C$97,J$2,'Wage Detail Linked'!$E$5:$E$97,"")=0,IF(J4&gt;0,ROUND(J4*90,2),0),ROUND(SUMIFS('Wage Detail Linked'!$R$5:$R$97,'Wage Detail Linked'!$B$5:$B$97,$A4,'Wage Detail Linked'!$C$5:$C$97,J$2,'Wage Detail Linked'!$E$5:$E$97,"")*J4/SUMIFS('Wage Detail Linked'!$O$5:$O$97,'Wage Detail Linked'!$B$5:$B$97,$A4,'Wage Detail Linked'!$C$5:$C$97,J$2,'Wage Detail Linked'!$E$5:$E$97,""),2))</f>
      </c>
      <c r="L4" s="16">
        <f>SUMIFS('Wage Detail Linked'!$O$5:$O$97,'Wage Detail Linked'!$B$5:$B$97,$A4,'Wage Detail Linked'!$C$5:$C$97,L$2,'Wage Detail Linked'!$E$5:$E$97,"")</f>
      </c>
      <c r="M4" s="4">
        <f>IF(SUMIFS('Wage Detail Linked'!$O$5:$O$97,'Wage Detail Linked'!$B$5:$B$97,$A4,'Wage Detail Linked'!$C$5:$C$97,L$2,'Wage Detail Linked'!$E$5:$E$97,"")=0,IF(L4&gt;0,ROUND(L4*90,2),0),ROUND(SUMIFS('Wage Detail Linked'!$R$5:$R$97,'Wage Detail Linked'!$B$5:$B$97,$A4,'Wage Detail Linked'!$C$5:$C$97,L$2,'Wage Detail Linked'!$E$5:$E$97,"")*L4/SUMIFS('Wage Detail Linked'!$O$5:$O$97,'Wage Detail Linked'!$B$5:$B$97,$A4,'Wage Detail Linked'!$C$5:$C$97,L$2,'Wage Detail Linked'!$E$5:$E$97,""),2))</f>
      </c>
      <c r="N4" s="16">
        <f>SUMIFS('Wage Detail Linked'!$O$5:$O$97,'Wage Detail Linked'!$B$5:$B$97,$A4,'Wage Detail Linked'!$C$5:$C$97,N$2,'Wage Detail Linked'!$E$5:$E$97,"")</f>
      </c>
      <c r="O4" s="4">
        <f>IF(SUMIFS('Wage Detail Linked'!$O$5:$O$97,'Wage Detail Linked'!$B$5:$B$97,$A4,'Wage Detail Linked'!$C$5:$C$97,N$2,'Wage Detail Linked'!$E$5:$E$97,"")=0,IF(N4&gt;0,ROUND(N4*90,2),0),ROUND(SUMIFS('Wage Detail Linked'!$R$5:$R$97,'Wage Detail Linked'!$B$5:$B$97,$A4,'Wage Detail Linked'!$C$5:$C$97,N$2,'Wage Detail Linked'!$E$5:$E$97,"")*N4/SUMIFS('Wage Detail Linked'!$O$5:$O$97,'Wage Detail Linked'!$B$5:$B$97,$A4,'Wage Detail Linked'!$C$5:$C$97,N$2,'Wage Detail Linked'!$E$5:$E$97,""),2))</f>
      </c>
      <c r="P4" s="16">
        <f>'Missed Shifts'!C7</f>
      </c>
      <c r="Q4" s="13">
        <f>IF('Missed Shifts'!C7=0,IF(P4&gt;0,ROUND(P4*90,2),0),ROUND('Missed Shifts'!D7*P4/'Missed Shifts'!C7,2))</f>
      </c>
      <c r="R4" s="10">
        <f>SUM(B4,D4,F4,H4,J4,L4,N4,P4)</f>
      </c>
      <c r="S4" s="5">
        <f>SUM(C4,E4,G4,I4,K4,M4,O4,Q4)</f>
      </c>
      <c r="T4" s="4">
        <v>0</v>
      </c>
      <c r="U4" s="7">
        <v>0</v>
      </c>
      <c r="V4" s="4">
        <f>MAX(0,T4-U4)</f>
      </c>
      <c r="W4" s="4">
        <v>0</v>
      </c>
      <c r="X4" s="7">
        <v>0</v>
      </c>
      <c r="Y4" s="4">
        <f>MAX(0,0-X4)</f>
      </c>
      <c r="Z4" s="4">
        <f>U4+X4</f>
      </c>
      <c r="AA4" s="13">
        <f>MAX(0,S4-Z4)</f>
      </c>
    </row>
    <row r="5">
      <c r="A5" s="1" t="inlineStr">
        <is>
          <t xml:space="preserve">Daniel Motaung</t>
        </is>
      </c>
      <c r="B5" s="16">
        <f>SUMIFS('Wage Detail Linked'!$O$5:$O$97,'Wage Detail Linked'!$B$5:$B$97,$A5,'Wage Detail Linked'!$C$5:$C$97,B$2,'Wage Detail Linked'!$E$5:$E$97,"")</f>
      </c>
      <c r="C5" s="4">
        <f>IF(SUMIFS('Wage Detail Linked'!$O$5:$O$97,'Wage Detail Linked'!$B$5:$B$97,$A5,'Wage Detail Linked'!$C$5:$C$97,B$2,'Wage Detail Linked'!$E$5:$E$97,"")=0,IF(B5&gt;0,ROUND(B5*90,2),0),ROUND(SUMIFS('Wage Detail Linked'!$R$5:$R$97,'Wage Detail Linked'!$B$5:$B$97,$A5,'Wage Detail Linked'!$C$5:$C$97,B$2,'Wage Detail Linked'!$E$5:$E$97,"")*B5/SUMIFS('Wage Detail Linked'!$O$5:$O$97,'Wage Detail Linked'!$B$5:$B$97,$A5,'Wage Detail Linked'!$C$5:$C$97,B$2,'Wage Detail Linked'!$E$5:$E$97,""),2))</f>
      </c>
      <c r="D5" s="16">
        <f>SUMIFS('Wage Detail Linked'!$O$5:$O$97,'Wage Detail Linked'!$B$5:$B$97,$A5,'Wage Detail Linked'!$C$5:$C$97,D$2,'Wage Detail Linked'!$E$5:$E$97,"")</f>
      </c>
      <c r="E5" s="4">
        <f>IF(SUMIFS('Wage Detail Linked'!$O$5:$O$97,'Wage Detail Linked'!$B$5:$B$97,$A5,'Wage Detail Linked'!$C$5:$C$97,D$2,'Wage Detail Linked'!$E$5:$E$97,"")=0,IF(D5&gt;0,ROUND(D5*90,2),0),ROUND(SUMIFS('Wage Detail Linked'!$R$5:$R$97,'Wage Detail Linked'!$B$5:$B$97,$A5,'Wage Detail Linked'!$C$5:$C$97,D$2,'Wage Detail Linked'!$E$5:$E$97,"")*D5/SUMIFS('Wage Detail Linked'!$O$5:$O$97,'Wage Detail Linked'!$B$5:$B$97,$A5,'Wage Detail Linked'!$C$5:$C$97,D$2,'Wage Detail Linked'!$E$5:$E$97,""),2))</f>
      </c>
      <c r="F5" s="16">
        <f>SUMIFS('Wage Detail Linked'!$O$5:$O$97,'Wage Detail Linked'!$B$5:$B$97,$A5,'Wage Detail Linked'!$C$5:$C$97,F$2,'Wage Detail Linked'!$E$5:$E$97,"")</f>
      </c>
      <c r="G5" s="4">
        <f>IF(SUMIFS('Wage Detail Linked'!$O$5:$O$97,'Wage Detail Linked'!$B$5:$B$97,$A5,'Wage Detail Linked'!$C$5:$C$97,F$2,'Wage Detail Linked'!$E$5:$E$97,"")=0,IF(F5&gt;0,ROUND(F5*90,2),0),ROUND(SUMIFS('Wage Detail Linked'!$R$5:$R$97,'Wage Detail Linked'!$B$5:$B$97,$A5,'Wage Detail Linked'!$C$5:$C$97,F$2,'Wage Detail Linked'!$E$5:$E$97,"")*F5/SUMIFS('Wage Detail Linked'!$O$5:$O$97,'Wage Detail Linked'!$B$5:$B$97,$A5,'Wage Detail Linked'!$C$5:$C$97,F$2,'Wage Detail Linked'!$E$5:$E$97,""),2))</f>
      </c>
      <c r="H5" s="16">
        <f>SUMIFS('Wage Detail Linked'!$O$5:$O$97,'Wage Detail Linked'!$B$5:$B$97,$A5,'Wage Detail Linked'!$C$5:$C$97,H$2,'Wage Detail Linked'!$E$5:$E$97,"")</f>
      </c>
      <c r="I5" s="4">
        <f>IF(SUMIFS('Wage Detail Linked'!$O$5:$O$97,'Wage Detail Linked'!$B$5:$B$97,$A5,'Wage Detail Linked'!$C$5:$C$97,H$2,'Wage Detail Linked'!$E$5:$E$97,"")=0,IF(H5&gt;0,ROUND(H5*90,2),0),ROUND(SUMIFS('Wage Detail Linked'!$R$5:$R$97,'Wage Detail Linked'!$B$5:$B$97,$A5,'Wage Detail Linked'!$C$5:$C$97,H$2,'Wage Detail Linked'!$E$5:$E$97,"")*H5/SUMIFS('Wage Detail Linked'!$O$5:$O$97,'Wage Detail Linked'!$B$5:$B$97,$A5,'Wage Detail Linked'!$C$5:$C$97,H$2,'Wage Detail Linked'!$E$5:$E$97,""),2))</f>
      </c>
      <c r="J5" s="16">
        <f>SUMIFS('Wage Detail Linked'!$O$5:$O$97,'Wage Detail Linked'!$B$5:$B$97,$A5,'Wage Detail Linked'!$C$5:$C$97,J$2,'Wage Detail Linked'!$E$5:$E$97,"")</f>
      </c>
      <c r="K5" s="4">
        <f>IF(SUMIFS('Wage Detail Linked'!$O$5:$O$97,'Wage Detail Linked'!$B$5:$B$97,$A5,'Wage Detail Linked'!$C$5:$C$97,J$2,'Wage Detail Linked'!$E$5:$E$97,"")=0,IF(J5&gt;0,ROUND(J5*90,2),0),ROUND(SUMIFS('Wage Detail Linked'!$R$5:$R$97,'Wage Detail Linked'!$B$5:$B$97,$A5,'Wage Detail Linked'!$C$5:$C$97,J$2,'Wage Detail Linked'!$E$5:$E$97,"")*J5/SUMIFS('Wage Detail Linked'!$O$5:$O$97,'Wage Detail Linked'!$B$5:$B$97,$A5,'Wage Detail Linked'!$C$5:$C$97,J$2,'Wage Detail Linked'!$E$5:$E$97,""),2))</f>
      </c>
      <c r="L5" s="16">
        <f>SUMIFS('Wage Detail Linked'!$O$5:$O$97,'Wage Detail Linked'!$B$5:$B$97,$A5,'Wage Detail Linked'!$C$5:$C$97,L$2,'Wage Detail Linked'!$E$5:$E$97,"")</f>
      </c>
      <c r="M5" s="4">
        <f>IF(SUMIFS('Wage Detail Linked'!$O$5:$O$97,'Wage Detail Linked'!$B$5:$B$97,$A5,'Wage Detail Linked'!$C$5:$C$97,L$2,'Wage Detail Linked'!$E$5:$E$97,"")=0,IF(L5&gt;0,ROUND(L5*90,2),0),ROUND(SUMIFS('Wage Detail Linked'!$R$5:$R$97,'Wage Detail Linked'!$B$5:$B$97,$A5,'Wage Detail Linked'!$C$5:$C$97,L$2,'Wage Detail Linked'!$E$5:$E$97,"")*L5/SUMIFS('Wage Detail Linked'!$O$5:$O$97,'Wage Detail Linked'!$B$5:$B$97,$A5,'Wage Detail Linked'!$C$5:$C$97,L$2,'Wage Detail Linked'!$E$5:$E$97,""),2))</f>
      </c>
      <c r="N5" s="16">
        <f>SUMIFS('Wage Detail Linked'!$O$5:$O$97,'Wage Detail Linked'!$B$5:$B$97,$A5,'Wage Detail Linked'!$C$5:$C$97,N$2,'Wage Detail Linked'!$E$5:$E$97,"")</f>
      </c>
      <c r="O5" s="4">
        <f>IF(SUMIFS('Wage Detail Linked'!$O$5:$O$97,'Wage Detail Linked'!$B$5:$B$97,$A5,'Wage Detail Linked'!$C$5:$C$97,N$2,'Wage Detail Linked'!$E$5:$E$97,"")=0,IF(N5&gt;0,ROUND(N5*90,2),0),ROUND(SUMIFS('Wage Detail Linked'!$R$5:$R$97,'Wage Detail Linked'!$B$5:$B$97,$A5,'Wage Detail Linked'!$C$5:$C$97,N$2,'Wage Detail Linked'!$E$5:$E$97,"")*N5/SUMIFS('Wage Detail Linked'!$O$5:$O$97,'Wage Detail Linked'!$B$5:$B$97,$A5,'Wage Detail Linked'!$C$5:$C$97,N$2,'Wage Detail Linked'!$E$5:$E$97,""),2))</f>
      </c>
      <c r="P5" s="16">
        <f>0</f>
      </c>
      <c r="Q5" s="13">
        <f>IF(P5&gt;0,ROUND(P5*90,2),0)</f>
      </c>
      <c r="R5" s="10">
        <f>SUM(B5,D5,F5,H5,J5,L5,N5,P5)</f>
      </c>
      <c r="S5" s="5">
        <f>SUM(C5,E5,G5,I5,K5,M5,O5,Q5)</f>
      </c>
      <c r="T5" s="4">
        <v>0</v>
      </c>
      <c r="U5" s="7">
        <v>0</v>
      </c>
      <c r="V5" s="4">
        <f>MAX(0,T5-U5)</f>
      </c>
      <c r="W5" s="4">
        <v>0</v>
      </c>
      <c r="X5" s="7">
        <v>0</v>
      </c>
      <c r="Y5" s="4">
        <f>MAX(0,0-X5)</f>
      </c>
      <c r="Z5" s="4">
        <f>U5+X5</f>
      </c>
      <c r="AA5" s="13">
        <f>MAX(0,S5-Z5)</f>
      </c>
    </row>
    <row r="6">
      <c r="A6" s="1" t="inlineStr">
        <is>
          <t xml:space="preserve">Erence Mngomezulu</t>
        </is>
      </c>
      <c r="B6" s="16">
        <f>SUMIFS('Wage Detail Linked'!$O$5:$O$97,'Wage Detail Linked'!$B$5:$B$97,$A6,'Wage Detail Linked'!$C$5:$C$97,B$2,'Wage Detail Linked'!$E$5:$E$97,"")</f>
      </c>
      <c r="C6" s="4">
        <f>IF(SUMIFS('Wage Detail Linked'!$O$5:$O$97,'Wage Detail Linked'!$B$5:$B$97,$A6,'Wage Detail Linked'!$C$5:$C$97,B$2,'Wage Detail Linked'!$E$5:$E$97,"")=0,IF(B6&gt;0,ROUND(B6*90,2),0),ROUND(SUMIFS('Wage Detail Linked'!$R$5:$R$97,'Wage Detail Linked'!$B$5:$B$97,$A6,'Wage Detail Linked'!$C$5:$C$97,B$2,'Wage Detail Linked'!$E$5:$E$97,"")*B6/SUMIFS('Wage Detail Linked'!$O$5:$O$97,'Wage Detail Linked'!$B$5:$B$97,$A6,'Wage Detail Linked'!$C$5:$C$97,B$2,'Wage Detail Linked'!$E$5:$E$97,""),2))</f>
      </c>
      <c r="D6" s="16">
        <f>SUMIFS('Wage Detail Linked'!$O$5:$O$97,'Wage Detail Linked'!$B$5:$B$97,$A6,'Wage Detail Linked'!$C$5:$C$97,D$2,'Wage Detail Linked'!$E$5:$E$97,"")</f>
      </c>
      <c r="E6" s="4">
        <f>IF(SUMIFS('Wage Detail Linked'!$O$5:$O$97,'Wage Detail Linked'!$B$5:$B$97,$A6,'Wage Detail Linked'!$C$5:$C$97,D$2,'Wage Detail Linked'!$E$5:$E$97,"")=0,IF(D6&gt;0,ROUND(D6*90,2),0),ROUND(SUMIFS('Wage Detail Linked'!$R$5:$R$97,'Wage Detail Linked'!$B$5:$B$97,$A6,'Wage Detail Linked'!$C$5:$C$97,D$2,'Wage Detail Linked'!$E$5:$E$97,"")*D6/SUMIFS('Wage Detail Linked'!$O$5:$O$97,'Wage Detail Linked'!$B$5:$B$97,$A6,'Wage Detail Linked'!$C$5:$C$97,D$2,'Wage Detail Linked'!$E$5:$E$97,""),2))</f>
      </c>
      <c r="F6" s="16">
        <f>SUMIFS('Wage Detail Linked'!$O$5:$O$97,'Wage Detail Linked'!$B$5:$B$97,$A6,'Wage Detail Linked'!$C$5:$C$97,F$2,'Wage Detail Linked'!$E$5:$E$97,"")</f>
      </c>
      <c r="G6" s="4">
        <f>IF(SUMIFS('Wage Detail Linked'!$O$5:$O$97,'Wage Detail Linked'!$B$5:$B$97,$A6,'Wage Detail Linked'!$C$5:$C$97,F$2,'Wage Detail Linked'!$E$5:$E$97,"")=0,IF(F6&gt;0,ROUND(F6*90,2),0),ROUND(SUMIFS('Wage Detail Linked'!$R$5:$R$97,'Wage Detail Linked'!$B$5:$B$97,$A6,'Wage Detail Linked'!$C$5:$C$97,F$2,'Wage Detail Linked'!$E$5:$E$97,"")*F6/SUMIFS('Wage Detail Linked'!$O$5:$O$97,'Wage Detail Linked'!$B$5:$B$97,$A6,'Wage Detail Linked'!$C$5:$C$97,F$2,'Wage Detail Linked'!$E$5:$E$97,""),2))</f>
      </c>
      <c r="H6" s="16">
        <f>SUMIFS('Wage Detail Linked'!$O$5:$O$97,'Wage Detail Linked'!$B$5:$B$97,$A6,'Wage Detail Linked'!$C$5:$C$97,H$2,'Wage Detail Linked'!$E$5:$E$97,"")</f>
      </c>
      <c r="I6" s="4">
        <f>IF(SUMIFS('Wage Detail Linked'!$O$5:$O$97,'Wage Detail Linked'!$B$5:$B$97,$A6,'Wage Detail Linked'!$C$5:$C$97,H$2,'Wage Detail Linked'!$E$5:$E$97,"")=0,IF(H6&gt;0,ROUND(H6*90,2),0),ROUND(SUMIFS('Wage Detail Linked'!$R$5:$R$97,'Wage Detail Linked'!$B$5:$B$97,$A6,'Wage Detail Linked'!$C$5:$C$97,H$2,'Wage Detail Linked'!$E$5:$E$97,"")*H6/SUMIFS('Wage Detail Linked'!$O$5:$O$97,'Wage Detail Linked'!$B$5:$B$97,$A6,'Wage Detail Linked'!$C$5:$C$97,H$2,'Wage Detail Linked'!$E$5:$E$97,""),2))</f>
      </c>
      <c r="J6" s="16">
        <f>SUMIFS('Wage Detail Linked'!$O$5:$O$97,'Wage Detail Linked'!$B$5:$B$97,$A6,'Wage Detail Linked'!$C$5:$C$97,J$2,'Wage Detail Linked'!$E$5:$E$97,"")</f>
      </c>
      <c r="K6" s="4">
        <f>IF(SUMIFS('Wage Detail Linked'!$O$5:$O$97,'Wage Detail Linked'!$B$5:$B$97,$A6,'Wage Detail Linked'!$C$5:$C$97,J$2,'Wage Detail Linked'!$E$5:$E$97,"")=0,IF(J6&gt;0,ROUND(J6*90,2),0),ROUND(SUMIFS('Wage Detail Linked'!$R$5:$R$97,'Wage Detail Linked'!$B$5:$B$97,$A6,'Wage Detail Linked'!$C$5:$C$97,J$2,'Wage Detail Linked'!$E$5:$E$97,"")*J6/SUMIFS('Wage Detail Linked'!$O$5:$O$97,'Wage Detail Linked'!$B$5:$B$97,$A6,'Wage Detail Linked'!$C$5:$C$97,J$2,'Wage Detail Linked'!$E$5:$E$97,""),2))</f>
      </c>
      <c r="L6" s="16">
        <f>SUMIFS('Wage Detail Linked'!$O$5:$O$97,'Wage Detail Linked'!$B$5:$B$97,$A6,'Wage Detail Linked'!$C$5:$C$97,L$2,'Wage Detail Linked'!$E$5:$E$97,"")</f>
      </c>
      <c r="M6" s="4">
        <f>IF(SUMIFS('Wage Detail Linked'!$O$5:$O$97,'Wage Detail Linked'!$B$5:$B$97,$A6,'Wage Detail Linked'!$C$5:$C$97,L$2,'Wage Detail Linked'!$E$5:$E$97,"")=0,IF(L6&gt;0,ROUND(L6*90,2),0),ROUND(SUMIFS('Wage Detail Linked'!$R$5:$R$97,'Wage Detail Linked'!$B$5:$B$97,$A6,'Wage Detail Linked'!$C$5:$C$97,L$2,'Wage Detail Linked'!$E$5:$E$97,"")*L6/SUMIFS('Wage Detail Linked'!$O$5:$O$97,'Wage Detail Linked'!$B$5:$B$97,$A6,'Wage Detail Linked'!$C$5:$C$97,L$2,'Wage Detail Linked'!$E$5:$E$97,""),2))</f>
      </c>
      <c r="N6" s="16">
        <f>SUMIFS('Wage Detail Linked'!$O$5:$O$97,'Wage Detail Linked'!$B$5:$B$97,$A6,'Wage Detail Linked'!$C$5:$C$97,N$2,'Wage Detail Linked'!$E$5:$E$97,"")</f>
      </c>
      <c r="O6" s="4">
        <f>IF(SUMIFS('Wage Detail Linked'!$O$5:$O$97,'Wage Detail Linked'!$B$5:$B$97,$A6,'Wage Detail Linked'!$C$5:$C$97,N$2,'Wage Detail Linked'!$E$5:$E$97,"")=0,IF(N6&gt;0,ROUND(N6*90,2),0),ROUND(SUMIFS('Wage Detail Linked'!$R$5:$R$97,'Wage Detail Linked'!$B$5:$B$97,$A6,'Wage Detail Linked'!$C$5:$C$97,N$2,'Wage Detail Linked'!$E$5:$E$97,"")*N6/SUMIFS('Wage Detail Linked'!$O$5:$O$97,'Wage Detail Linked'!$B$5:$B$97,$A6,'Wage Detail Linked'!$C$5:$C$97,N$2,'Wage Detail Linked'!$E$5:$E$97,""),2))</f>
      </c>
      <c r="P6" s="16">
        <f>'Missed Shifts'!C12</f>
      </c>
      <c r="Q6" s="13">
        <f>IF('Missed Shifts'!C12=0,IF(P6&gt;0,ROUND(P6*90,2),0),ROUND('Missed Shifts'!D12*P6/'Missed Shifts'!C12,2))</f>
      </c>
      <c r="R6" s="10">
        <f>SUM(B6,D6,F6,H6,J6,L6,N6,P6)</f>
      </c>
      <c r="S6" s="5">
        <f>SUM(C6,E6,G6,I6,K6,M6,O6,Q6)</f>
      </c>
      <c r="T6" s="4">
        <v>0</v>
      </c>
      <c r="U6" s="7">
        <v>0</v>
      </c>
      <c r="V6" s="4">
        <f>MAX(0,T6-U6)</f>
      </c>
      <c r="W6" s="4">
        <v>0</v>
      </c>
      <c r="X6" s="7">
        <v>0</v>
      </c>
      <c r="Y6" s="4">
        <f>MAX(0,0-X6)</f>
      </c>
      <c r="Z6" s="4">
        <f>U6+X6</f>
      </c>
      <c r="AA6" s="13">
        <f>MAX(0,S6-Z6)</f>
      </c>
    </row>
    <row r="7">
      <c r="A7" s="1" t="inlineStr">
        <is>
          <t xml:space="preserve">Erick Mpho Molefe</t>
        </is>
      </c>
      <c r="B7" s="16">
        <f>SUMIFS('Wage Detail Linked'!$O$5:$O$97,'Wage Detail Linked'!$B$5:$B$97,$A7,'Wage Detail Linked'!$C$5:$C$97,B$2,'Wage Detail Linked'!$E$5:$E$97,"")</f>
      </c>
      <c r="C7" s="4">
        <f>IF(SUMIFS('Wage Detail Linked'!$O$5:$O$97,'Wage Detail Linked'!$B$5:$B$97,$A7,'Wage Detail Linked'!$C$5:$C$97,B$2,'Wage Detail Linked'!$E$5:$E$97,"")=0,IF(B7&gt;0,ROUND(B7*90,2),0),ROUND(SUMIFS('Wage Detail Linked'!$R$5:$R$97,'Wage Detail Linked'!$B$5:$B$97,$A7,'Wage Detail Linked'!$C$5:$C$97,B$2,'Wage Detail Linked'!$E$5:$E$97,"")*B7/SUMIFS('Wage Detail Linked'!$O$5:$O$97,'Wage Detail Linked'!$B$5:$B$97,$A7,'Wage Detail Linked'!$C$5:$C$97,B$2,'Wage Detail Linked'!$E$5:$E$97,""),2))</f>
      </c>
      <c r="D7" s="16">
        <f>SUMIFS('Wage Detail Linked'!$O$5:$O$97,'Wage Detail Linked'!$B$5:$B$97,$A7,'Wage Detail Linked'!$C$5:$C$97,D$2,'Wage Detail Linked'!$E$5:$E$97,"")</f>
      </c>
      <c r="E7" s="4">
        <f>IF(SUMIFS('Wage Detail Linked'!$O$5:$O$97,'Wage Detail Linked'!$B$5:$B$97,$A7,'Wage Detail Linked'!$C$5:$C$97,D$2,'Wage Detail Linked'!$E$5:$E$97,"")=0,IF(D7&gt;0,ROUND(D7*90,2),0),ROUND(SUMIFS('Wage Detail Linked'!$R$5:$R$97,'Wage Detail Linked'!$B$5:$B$97,$A7,'Wage Detail Linked'!$C$5:$C$97,D$2,'Wage Detail Linked'!$E$5:$E$97,"")*D7/SUMIFS('Wage Detail Linked'!$O$5:$O$97,'Wage Detail Linked'!$B$5:$B$97,$A7,'Wage Detail Linked'!$C$5:$C$97,D$2,'Wage Detail Linked'!$E$5:$E$97,""),2))</f>
      </c>
      <c r="F7" s="16">
        <f>SUMIFS('Wage Detail Linked'!$O$5:$O$97,'Wage Detail Linked'!$B$5:$B$97,$A7,'Wage Detail Linked'!$C$5:$C$97,F$2,'Wage Detail Linked'!$E$5:$E$97,"")</f>
      </c>
      <c r="G7" s="4">
        <f>IF(SUMIFS('Wage Detail Linked'!$O$5:$O$97,'Wage Detail Linked'!$B$5:$B$97,$A7,'Wage Detail Linked'!$C$5:$C$97,F$2,'Wage Detail Linked'!$E$5:$E$97,"")=0,IF(F7&gt;0,ROUND(F7*90,2),0),ROUND(SUMIFS('Wage Detail Linked'!$R$5:$R$97,'Wage Detail Linked'!$B$5:$B$97,$A7,'Wage Detail Linked'!$C$5:$C$97,F$2,'Wage Detail Linked'!$E$5:$E$97,"")*F7/SUMIFS('Wage Detail Linked'!$O$5:$O$97,'Wage Detail Linked'!$B$5:$B$97,$A7,'Wage Detail Linked'!$C$5:$C$97,F$2,'Wage Detail Linked'!$E$5:$E$97,""),2))</f>
      </c>
      <c r="H7" s="16">
        <f>SUMIFS('Wage Detail Linked'!$O$5:$O$97,'Wage Detail Linked'!$B$5:$B$97,$A7,'Wage Detail Linked'!$C$5:$C$97,H$2,'Wage Detail Linked'!$E$5:$E$97,"")</f>
      </c>
      <c r="I7" s="4">
        <f>IF(SUMIFS('Wage Detail Linked'!$O$5:$O$97,'Wage Detail Linked'!$B$5:$B$97,$A7,'Wage Detail Linked'!$C$5:$C$97,H$2,'Wage Detail Linked'!$E$5:$E$97,"")=0,IF(H7&gt;0,ROUND(H7*90,2),0),ROUND(SUMIFS('Wage Detail Linked'!$R$5:$R$97,'Wage Detail Linked'!$B$5:$B$97,$A7,'Wage Detail Linked'!$C$5:$C$97,H$2,'Wage Detail Linked'!$E$5:$E$97,"")*H7/SUMIFS('Wage Detail Linked'!$O$5:$O$97,'Wage Detail Linked'!$B$5:$B$97,$A7,'Wage Detail Linked'!$C$5:$C$97,H$2,'Wage Detail Linked'!$E$5:$E$97,""),2))</f>
      </c>
      <c r="J7" s="16">
        <f>SUMIFS('Wage Detail Linked'!$O$5:$O$97,'Wage Detail Linked'!$B$5:$B$97,$A7,'Wage Detail Linked'!$C$5:$C$97,J$2,'Wage Detail Linked'!$E$5:$E$97,"")</f>
      </c>
      <c r="K7" s="4">
        <f>IF(SUMIFS('Wage Detail Linked'!$O$5:$O$97,'Wage Detail Linked'!$B$5:$B$97,$A7,'Wage Detail Linked'!$C$5:$C$97,J$2,'Wage Detail Linked'!$E$5:$E$97,"")=0,IF(J7&gt;0,ROUND(J7*90,2),0),ROUND(SUMIFS('Wage Detail Linked'!$R$5:$R$97,'Wage Detail Linked'!$B$5:$B$97,$A7,'Wage Detail Linked'!$C$5:$C$97,J$2,'Wage Detail Linked'!$E$5:$E$97,"")*J7/SUMIFS('Wage Detail Linked'!$O$5:$O$97,'Wage Detail Linked'!$B$5:$B$97,$A7,'Wage Detail Linked'!$C$5:$C$97,J$2,'Wage Detail Linked'!$E$5:$E$97,""),2))</f>
      </c>
      <c r="L7" s="16">
        <f>SUMIFS('Wage Detail Linked'!$O$5:$O$97,'Wage Detail Linked'!$B$5:$B$97,$A7,'Wage Detail Linked'!$C$5:$C$97,L$2,'Wage Detail Linked'!$E$5:$E$97,"")</f>
      </c>
      <c r="M7" s="4">
        <f>IF(SUMIFS('Wage Detail Linked'!$O$5:$O$97,'Wage Detail Linked'!$B$5:$B$97,$A7,'Wage Detail Linked'!$C$5:$C$97,L$2,'Wage Detail Linked'!$E$5:$E$97,"")=0,IF(L7&gt;0,ROUND(L7*90,2),0),ROUND(SUMIFS('Wage Detail Linked'!$R$5:$R$97,'Wage Detail Linked'!$B$5:$B$97,$A7,'Wage Detail Linked'!$C$5:$C$97,L$2,'Wage Detail Linked'!$E$5:$E$97,"")*L7/SUMIFS('Wage Detail Linked'!$O$5:$O$97,'Wage Detail Linked'!$B$5:$B$97,$A7,'Wage Detail Linked'!$C$5:$C$97,L$2,'Wage Detail Linked'!$E$5:$E$97,""),2))</f>
      </c>
      <c r="N7" s="16">
        <f>SUMIFS('Wage Detail Linked'!$O$5:$O$97,'Wage Detail Linked'!$B$5:$B$97,$A7,'Wage Detail Linked'!$C$5:$C$97,N$2,'Wage Detail Linked'!$E$5:$E$97,"")</f>
      </c>
      <c r="O7" s="4">
        <f>IF(SUMIFS('Wage Detail Linked'!$O$5:$O$97,'Wage Detail Linked'!$B$5:$B$97,$A7,'Wage Detail Linked'!$C$5:$C$97,N$2,'Wage Detail Linked'!$E$5:$E$97,"")=0,IF(N7&gt;0,ROUND(N7*90,2),0),ROUND(SUMIFS('Wage Detail Linked'!$R$5:$R$97,'Wage Detail Linked'!$B$5:$B$97,$A7,'Wage Detail Linked'!$C$5:$C$97,N$2,'Wage Detail Linked'!$E$5:$E$97,"")*N7/SUMIFS('Wage Detail Linked'!$O$5:$O$97,'Wage Detail Linked'!$B$5:$B$97,$A7,'Wage Detail Linked'!$C$5:$C$97,N$2,'Wage Detail Linked'!$E$5:$E$97,""),2))</f>
      </c>
      <c r="P7" s="16">
        <f>'Missed Shifts'!C15</f>
      </c>
      <c r="Q7" s="13">
        <f>IF('Missed Shifts'!C15=0,IF(P7&gt;0,ROUND(P7*90,2),0),ROUND('Missed Shifts'!D15*P7/'Missed Shifts'!C15,2))</f>
      </c>
      <c r="R7" s="10">
        <f>SUM(B7,D7,F7,H7,J7,L7,N7,P7)</f>
      </c>
      <c r="S7" s="5">
        <f>SUM(C7,E7,G7,I7,K7,M7,O7,Q7)</f>
      </c>
      <c r="T7" s="4">
        <v>1000</v>
      </c>
      <c r="U7" s="7">
        <v>1000</v>
      </c>
      <c r="V7" s="4">
        <f>MAX(0,T7-U7)</f>
      </c>
      <c r="W7" s="4">
        <v>500</v>
      </c>
      <c r="X7" s="7">
        <v>500</v>
      </c>
      <c r="Y7" s="4">
        <f>MAX(0,1000-X7)</f>
      </c>
      <c r="Z7" s="4">
        <f>U7+X7</f>
      </c>
      <c r="AA7" s="13">
        <f>MAX(0,S7-Z7)</f>
      </c>
    </row>
    <row r="8">
      <c r="A8" s="1" t="inlineStr">
        <is>
          <t xml:space="preserve">Givemore Chifetete Kuziwa</t>
        </is>
      </c>
      <c r="B8" s="16">
        <f>SUMIFS('Wage Detail Linked'!$O$5:$O$97,'Wage Detail Linked'!$B$5:$B$97,$A8,'Wage Detail Linked'!$C$5:$C$97,B$2,'Wage Detail Linked'!$E$5:$E$97,"")</f>
      </c>
      <c r="C8" s="4">
        <f>IF(SUMIFS('Wage Detail Linked'!$O$5:$O$97,'Wage Detail Linked'!$B$5:$B$97,$A8,'Wage Detail Linked'!$C$5:$C$97,B$2,'Wage Detail Linked'!$E$5:$E$97,"")=0,IF(B8&gt;0,ROUND(B8*90,2),0),ROUND(SUMIFS('Wage Detail Linked'!$R$5:$R$97,'Wage Detail Linked'!$B$5:$B$97,$A8,'Wage Detail Linked'!$C$5:$C$97,B$2,'Wage Detail Linked'!$E$5:$E$97,"")*B8/SUMIFS('Wage Detail Linked'!$O$5:$O$97,'Wage Detail Linked'!$B$5:$B$97,$A8,'Wage Detail Linked'!$C$5:$C$97,B$2,'Wage Detail Linked'!$E$5:$E$97,""),2))</f>
      </c>
      <c r="D8" s="16">
        <f>SUMIFS('Wage Detail Linked'!$O$5:$O$97,'Wage Detail Linked'!$B$5:$B$97,$A8,'Wage Detail Linked'!$C$5:$C$97,D$2,'Wage Detail Linked'!$E$5:$E$97,"")</f>
      </c>
      <c r="E8" s="4">
        <f>IF(SUMIFS('Wage Detail Linked'!$O$5:$O$97,'Wage Detail Linked'!$B$5:$B$97,$A8,'Wage Detail Linked'!$C$5:$C$97,D$2,'Wage Detail Linked'!$E$5:$E$97,"")=0,IF(D8&gt;0,ROUND(D8*90,2),0),ROUND(SUMIFS('Wage Detail Linked'!$R$5:$R$97,'Wage Detail Linked'!$B$5:$B$97,$A8,'Wage Detail Linked'!$C$5:$C$97,D$2,'Wage Detail Linked'!$E$5:$E$97,"")*D8/SUMIFS('Wage Detail Linked'!$O$5:$O$97,'Wage Detail Linked'!$B$5:$B$97,$A8,'Wage Detail Linked'!$C$5:$C$97,D$2,'Wage Detail Linked'!$E$5:$E$97,""),2))</f>
      </c>
      <c r="F8" s="16">
        <f>SUMIFS('Wage Detail Linked'!$O$5:$O$97,'Wage Detail Linked'!$B$5:$B$97,$A8,'Wage Detail Linked'!$C$5:$C$97,F$2,'Wage Detail Linked'!$E$5:$E$97,"")</f>
      </c>
      <c r="G8" s="4">
        <f>IF(SUMIFS('Wage Detail Linked'!$O$5:$O$97,'Wage Detail Linked'!$B$5:$B$97,$A8,'Wage Detail Linked'!$C$5:$C$97,F$2,'Wage Detail Linked'!$E$5:$E$97,"")=0,IF(F8&gt;0,ROUND(F8*90,2),0),ROUND(SUMIFS('Wage Detail Linked'!$R$5:$R$97,'Wage Detail Linked'!$B$5:$B$97,$A8,'Wage Detail Linked'!$C$5:$C$97,F$2,'Wage Detail Linked'!$E$5:$E$97,"")*F8/SUMIFS('Wage Detail Linked'!$O$5:$O$97,'Wage Detail Linked'!$B$5:$B$97,$A8,'Wage Detail Linked'!$C$5:$C$97,F$2,'Wage Detail Linked'!$E$5:$E$97,""),2))</f>
      </c>
      <c r="H8" s="16">
        <f>SUMIFS('Wage Detail Linked'!$O$5:$O$97,'Wage Detail Linked'!$B$5:$B$97,$A8,'Wage Detail Linked'!$C$5:$C$97,H$2,'Wage Detail Linked'!$E$5:$E$97,"")</f>
      </c>
      <c r="I8" s="4">
        <f>IF(SUMIFS('Wage Detail Linked'!$O$5:$O$97,'Wage Detail Linked'!$B$5:$B$97,$A8,'Wage Detail Linked'!$C$5:$C$97,H$2,'Wage Detail Linked'!$E$5:$E$97,"")=0,IF(H8&gt;0,ROUND(H8*90,2),0),ROUND(SUMIFS('Wage Detail Linked'!$R$5:$R$97,'Wage Detail Linked'!$B$5:$B$97,$A8,'Wage Detail Linked'!$C$5:$C$97,H$2,'Wage Detail Linked'!$E$5:$E$97,"")*H8/SUMIFS('Wage Detail Linked'!$O$5:$O$97,'Wage Detail Linked'!$B$5:$B$97,$A8,'Wage Detail Linked'!$C$5:$C$97,H$2,'Wage Detail Linked'!$E$5:$E$97,""),2))</f>
      </c>
      <c r="J8" s="16">
        <f>SUMIFS('Wage Detail Linked'!$O$5:$O$97,'Wage Detail Linked'!$B$5:$B$97,$A8,'Wage Detail Linked'!$C$5:$C$97,J$2,'Wage Detail Linked'!$E$5:$E$97,"")</f>
      </c>
      <c r="K8" s="4">
        <f>IF(SUMIFS('Wage Detail Linked'!$O$5:$O$97,'Wage Detail Linked'!$B$5:$B$97,$A8,'Wage Detail Linked'!$C$5:$C$97,J$2,'Wage Detail Linked'!$E$5:$E$97,"")=0,IF(J8&gt;0,ROUND(J8*90,2),0),ROUND(SUMIFS('Wage Detail Linked'!$R$5:$R$97,'Wage Detail Linked'!$B$5:$B$97,$A8,'Wage Detail Linked'!$C$5:$C$97,J$2,'Wage Detail Linked'!$E$5:$E$97,"")*J8/SUMIFS('Wage Detail Linked'!$O$5:$O$97,'Wage Detail Linked'!$B$5:$B$97,$A8,'Wage Detail Linked'!$C$5:$C$97,J$2,'Wage Detail Linked'!$E$5:$E$97,""),2))</f>
      </c>
      <c r="L8" s="16">
        <f>SUMIFS('Wage Detail Linked'!$O$5:$O$97,'Wage Detail Linked'!$B$5:$B$97,$A8,'Wage Detail Linked'!$C$5:$C$97,L$2,'Wage Detail Linked'!$E$5:$E$97,"")</f>
      </c>
      <c r="M8" s="4">
        <f>IF(SUMIFS('Wage Detail Linked'!$O$5:$O$97,'Wage Detail Linked'!$B$5:$B$97,$A8,'Wage Detail Linked'!$C$5:$C$97,L$2,'Wage Detail Linked'!$E$5:$E$97,"")=0,IF(L8&gt;0,ROUND(L8*90,2),0),ROUND(SUMIFS('Wage Detail Linked'!$R$5:$R$97,'Wage Detail Linked'!$B$5:$B$97,$A8,'Wage Detail Linked'!$C$5:$C$97,L$2,'Wage Detail Linked'!$E$5:$E$97,"")*L8/SUMIFS('Wage Detail Linked'!$O$5:$O$97,'Wage Detail Linked'!$B$5:$B$97,$A8,'Wage Detail Linked'!$C$5:$C$97,L$2,'Wage Detail Linked'!$E$5:$E$97,""),2))</f>
      </c>
      <c r="N8" s="16">
        <f>SUMIFS('Wage Detail Linked'!$O$5:$O$97,'Wage Detail Linked'!$B$5:$B$97,$A8,'Wage Detail Linked'!$C$5:$C$97,N$2,'Wage Detail Linked'!$E$5:$E$97,"")</f>
      </c>
      <c r="O8" s="4">
        <f>IF(SUMIFS('Wage Detail Linked'!$O$5:$O$97,'Wage Detail Linked'!$B$5:$B$97,$A8,'Wage Detail Linked'!$C$5:$C$97,N$2,'Wage Detail Linked'!$E$5:$E$97,"")=0,IF(N8&gt;0,ROUND(N8*90,2),0),ROUND(SUMIFS('Wage Detail Linked'!$R$5:$R$97,'Wage Detail Linked'!$B$5:$B$97,$A8,'Wage Detail Linked'!$C$5:$C$97,N$2,'Wage Detail Linked'!$E$5:$E$97,"")*N8/SUMIFS('Wage Detail Linked'!$O$5:$O$97,'Wage Detail Linked'!$B$5:$B$97,$A8,'Wage Detail Linked'!$C$5:$C$97,N$2,'Wage Detail Linked'!$E$5:$E$97,""),2))</f>
      </c>
      <c r="P8" s="16">
        <f>'Missed Shifts'!C18</f>
      </c>
      <c r="Q8" s="13">
        <f>IF('Missed Shifts'!C18=0,IF(P8&gt;0,ROUND(P8*90,2),0),ROUND('Missed Shifts'!D18*P8/'Missed Shifts'!C18,2))</f>
      </c>
      <c r="R8" s="10">
        <f>SUM(B8,D8,F8,H8,J8,L8,N8,P8)</f>
      </c>
      <c r="S8" s="5">
        <f>SUM(C8,E8,G8,I8,K8,M8,O8,Q8)</f>
      </c>
      <c r="T8" s="4">
        <v>0</v>
      </c>
      <c r="U8" s="7">
        <v>0</v>
      </c>
      <c r="V8" s="4">
        <f>MAX(0,T8-U8)</f>
      </c>
      <c r="W8" s="4">
        <v>0</v>
      </c>
      <c r="X8" s="7">
        <v>0</v>
      </c>
      <c r="Y8" s="4">
        <f>MAX(0,0-X8)</f>
      </c>
      <c r="Z8" s="4">
        <f>U8+X8</f>
      </c>
      <c r="AA8" s="13">
        <f>MAX(0,S8-Z8)</f>
      </c>
    </row>
    <row r="9">
      <c r="A9" s="1" t="inlineStr">
        <is>
          <t xml:space="preserve">Isaac Mbele</t>
        </is>
      </c>
      <c r="B9" s="16">
        <f>SUMIFS('Wage Detail Linked'!$O$5:$O$97,'Wage Detail Linked'!$B$5:$B$97,$A9,'Wage Detail Linked'!$C$5:$C$97,B$2,'Wage Detail Linked'!$E$5:$E$97,"")</f>
      </c>
      <c r="C9" s="4">
        <f>IF(SUMIFS('Wage Detail Linked'!$O$5:$O$97,'Wage Detail Linked'!$B$5:$B$97,$A9,'Wage Detail Linked'!$C$5:$C$97,B$2,'Wage Detail Linked'!$E$5:$E$97,"")=0,IF(B9&gt;0,ROUND(B9*90,2),0),ROUND(SUMIFS('Wage Detail Linked'!$R$5:$R$97,'Wage Detail Linked'!$B$5:$B$97,$A9,'Wage Detail Linked'!$C$5:$C$97,B$2,'Wage Detail Linked'!$E$5:$E$97,"")*B9/SUMIFS('Wage Detail Linked'!$O$5:$O$97,'Wage Detail Linked'!$B$5:$B$97,$A9,'Wage Detail Linked'!$C$5:$C$97,B$2,'Wage Detail Linked'!$E$5:$E$97,""),2))</f>
      </c>
      <c r="D9" s="16">
        <f>SUMIFS('Wage Detail Linked'!$O$5:$O$97,'Wage Detail Linked'!$B$5:$B$97,$A9,'Wage Detail Linked'!$C$5:$C$97,D$2,'Wage Detail Linked'!$E$5:$E$97,"")</f>
      </c>
      <c r="E9" s="4">
        <f>IF(SUMIFS('Wage Detail Linked'!$O$5:$O$97,'Wage Detail Linked'!$B$5:$B$97,$A9,'Wage Detail Linked'!$C$5:$C$97,D$2,'Wage Detail Linked'!$E$5:$E$97,"")=0,IF(D9&gt;0,ROUND(D9*90,2),0),ROUND(SUMIFS('Wage Detail Linked'!$R$5:$R$97,'Wage Detail Linked'!$B$5:$B$97,$A9,'Wage Detail Linked'!$C$5:$C$97,D$2,'Wage Detail Linked'!$E$5:$E$97,"")*D9/SUMIFS('Wage Detail Linked'!$O$5:$O$97,'Wage Detail Linked'!$B$5:$B$97,$A9,'Wage Detail Linked'!$C$5:$C$97,D$2,'Wage Detail Linked'!$E$5:$E$97,""),2))</f>
      </c>
      <c r="F9" s="16">
        <f>SUMIFS('Wage Detail Linked'!$O$5:$O$97,'Wage Detail Linked'!$B$5:$B$97,$A9,'Wage Detail Linked'!$C$5:$C$97,F$2,'Wage Detail Linked'!$E$5:$E$97,"")</f>
      </c>
      <c r="G9" s="4">
        <f>IF(SUMIFS('Wage Detail Linked'!$O$5:$O$97,'Wage Detail Linked'!$B$5:$B$97,$A9,'Wage Detail Linked'!$C$5:$C$97,F$2,'Wage Detail Linked'!$E$5:$E$97,"")=0,IF(F9&gt;0,ROUND(F9*90,2),0),ROUND(SUMIFS('Wage Detail Linked'!$R$5:$R$97,'Wage Detail Linked'!$B$5:$B$97,$A9,'Wage Detail Linked'!$C$5:$C$97,F$2,'Wage Detail Linked'!$E$5:$E$97,"")*F9/SUMIFS('Wage Detail Linked'!$O$5:$O$97,'Wage Detail Linked'!$B$5:$B$97,$A9,'Wage Detail Linked'!$C$5:$C$97,F$2,'Wage Detail Linked'!$E$5:$E$97,""),2))</f>
      </c>
      <c r="H9" s="16">
        <f>SUMIFS('Wage Detail Linked'!$O$5:$O$97,'Wage Detail Linked'!$B$5:$B$97,$A9,'Wage Detail Linked'!$C$5:$C$97,H$2,'Wage Detail Linked'!$E$5:$E$97,"")</f>
      </c>
      <c r="I9" s="4">
        <f>IF(SUMIFS('Wage Detail Linked'!$O$5:$O$97,'Wage Detail Linked'!$B$5:$B$97,$A9,'Wage Detail Linked'!$C$5:$C$97,H$2,'Wage Detail Linked'!$E$5:$E$97,"")=0,IF(H9&gt;0,ROUND(H9*90,2),0),ROUND(SUMIFS('Wage Detail Linked'!$R$5:$R$97,'Wage Detail Linked'!$B$5:$B$97,$A9,'Wage Detail Linked'!$C$5:$C$97,H$2,'Wage Detail Linked'!$E$5:$E$97,"")*H9/SUMIFS('Wage Detail Linked'!$O$5:$O$97,'Wage Detail Linked'!$B$5:$B$97,$A9,'Wage Detail Linked'!$C$5:$C$97,H$2,'Wage Detail Linked'!$E$5:$E$97,""),2))</f>
      </c>
      <c r="J9" s="16">
        <f>SUMIFS('Wage Detail Linked'!$O$5:$O$97,'Wage Detail Linked'!$B$5:$B$97,$A9,'Wage Detail Linked'!$C$5:$C$97,J$2,'Wage Detail Linked'!$E$5:$E$97,"")</f>
      </c>
      <c r="K9" s="4">
        <f>IF(SUMIFS('Wage Detail Linked'!$O$5:$O$97,'Wage Detail Linked'!$B$5:$B$97,$A9,'Wage Detail Linked'!$C$5:$C$97,J$2,'Wage Detail Linked'!$E$5:$E$97,"")=0,IF(J9&gt;0,ROUND(J9*90,2),0),ROUND(SUMIFS('Wage Detail Linked'!$R$5:$R$97,'Wage Detail Linked'!$B$5:$B$97,$A9,'Wage Detail Linked'!$C$5:$C$97,J$2,'Wage Detail Linked'!$E$5:$E$97,"")*J9/SUMIFS('Wage Detail Linked'!$O$5:$O$97,'Wage Detail Linked'!$B$5:$B$97,$A9,'Wage Detail Linked'!$C$5:$C$97,J$2,'Wage Detail Linked'!$E$5:$E$97,""),2))</f>
      </c>
      <c r="L9" s="16">
        <f>SUMIFS('Wage Detail Linked'!$O$5:$O$97,'Wage Detail Linked'!$B$5:$B$97,$A9,'Wage Detail Linked'!$C$5:$C$97,L$2,'Wage Detail Linked'!$E$5:$E$97,"")</f>
      </c>
      <c r="M9" s="4">
        <f>IF(SUMIFS('Wage Detail Linked'!$O$5:$O$97,'Wage Detail Linked'!$B$5:$B$97,$A9,'Wage Detail Linked'!$C$5:$C$97,L$2,'Wage Detail Linked'!$E$5:$E$97,"")=0,IF(L9&gt;0,ROUND(L9*90,2),0),ROUND(SUMIFS('Wage Detail Linked'!$R$5:$R$97,'Wage Detail Linked'!$B$5:$B$97,$A9,'Wage Detail Linked'!$C$5:$C$97,L$2,'Wage Detail Linked'!$E$5:$E$97,"")*L9/SUMIFS('Wage Detail Linked'!$O$5:$O$97,'Wage Detail Linked'!$B$5:$B$97,$A9,'Wage Detail Linked'!$C$5:$C$97,L$2,'Wage Detail Linked'!$E$5:$E$97,""),2))</f>
      </c>
      <c r="N9" s="16">
        <f>SUMIFS('Wage Detail Linked'!$O$5:$O$97,'Wage Detail Linked'!$B$5:$B$97,$A9,'Wage Detail Linked'!$C$5:$C$97,N$2,'Wage Detail Linked'!$E$5:$E$97,"")</f>
      </c>
      <c r="O9" s="4">
        <f>IF(SUMIFS('Wage Detail Linked'!$O$5:$O$97,'Wage Detail Linked'!$B$5:$B$97,$A9,'Wage Detail Linked'!$C$5:$C$97,N$2,'Wage Detail Linked'!$E$5:$E$97,"")=0,IF(N9&gt;0,ROUND(N9*90,2),0),ROUND(SUMIFS('Wage Detail Linked'!$R$5:$R$97,'Wage Detail Linked'!$B$5:$B$97,$A9,'Wage Detail Linked'!$C$5:$C$97,N$2,'Wage Detail Linked'!$E$5:$E$97,"")*N9/SUMIFS('Wage Detail Linked'!$O$5:$O$97,'Wage Detail Linked'!$B$5:$B$97,$A9,'Wage Detail Linked'!$C$5:$C$97,N$2,'Wage Detail Linked'!$E$5:$E$97,""),2))</f>
      </c>
      <c r="P9" s="16">
        <f>0</f>
      </c>
      <c r="Q9" s="13">
        <f>IF(P9&gt;0,ROUND(P9*90,2),0)</f>
      </c>
      <c r="R9" s="10">
        <f>SUM(B9,D9,F9,H9,J9,L9,N9,P9)</f>
      </c>
      <c r="S9" s="5">
        <f>SUM(C9,E9,G9,I9,K9,M9,O9,Q9)</f>
      </c>
      <c r="T9" s="4">
        <v>260</v>
      </c>
      <c r="U9" s="7">
        <v>260</v>
      </c>
      <c r="V9" s="4">
        <f>MAX(0,T9-U9)</f>
      </c>
      <c r="W9" s="4">
        <v>1000</v>
      </c>
      <c r="X9" s="7">
        <v>1000</v>
      </c>
      <c r="Y9" s="4">
        <f>MAX(0,1600-X9)</f>
      </c>
      <c r="Z9" s="4">
        <f>U9+X9</f>
      </c>
      <c r="AA9" s="13">
        <f>MAX(0,S9-Z9)</f>
      </c>
    </row>
    <row r="10">
      <c r="A10" s="1" t="inlineStr">
        <is>
          <t xml:space="preserve">John Simbarashe Mhlanga</t>
        </is>
      </c>
      <c r="B10" s="16">
        <f>SUMIFS('Wage Detail Linked'!$O$5:$O$97,'Wage Detail Linked'!$B$5:$B$97,$A10,'Wage Detail Linked'!$C$5:$C$97,B$2,'Wage Detail Linked'!$E$5:$E$97,"")</f>
      </c>
      <c r="C10" s="4">
        <f>IF(SUMIFS('Wage Detail Linked'!$O$5:$O$97,'Wage Detail Linked'!$B$5:$B$97,$A10,'Wage Detail Linked'!$C$5:$C$97,B$2,'Wage Detail Linked'!$E$5:$E$97,"")=0,IF(B10&gt;0,ROUND(B10*90,2),0),ROUND(SUMIFS('Wage Detail Linked'!$R$5:$R$97,'Wage Detail Linked'!$B$5:$B$97,$A10,'Wage Detail Linked'!$C$5:$C$97,B$2,'Wage Detail Linked'!$E$5:$E$97,"")*B10/SUMIFS('Wage Detail Linked'!$O$5:$O$97,'Wage Detail Linked'!$B$5:$B$97,$A10,'Wage Detail Linked'!$C$5:$C$97,B$2,'Wage Detail Linked'!$E$5:$E$97,""),2))</f>
      </c>
      <c r="D10" s="16">
        <f>SUMIFS('Wage Detail Linked'!$O$5:$O$97,'Wage Detail Linked'!$B$5:$B$97,$A10,'Wage Detail Linked'!$C$5:$C$97,D$2,'Wage Detail Linked'!$E$5:$E$97,"")</f>
      </c>
      <c r="E10" s="4">
        <f>IF(SUMIFS('Wage Detail Linked'!$O$5:$O$97,'Wage Detail Linked'!$B$5:$B$97,$A10,'Wage Detail Linked'!$C$5:$C$97,D$2,'Wage Detail Linked'!$E$5:$E$97,"")=0,IF(D10&gt;0,ROUND(D10*90,2),0),ROUND(SUMIFS('Wage Detail Linked'!$R$5:$R$97,'Wage Detail Linked'!$B$5:$B$97,$A10,'Wage Detail Linked'!$C$5:$C$97,D$2,'Wage Detail Linked'!$E$5:$E$97,"")*D10/SUMIFS('Wage Detail Linked'!$O$5:$O$97,'Wage Detail Linked'!$B$5:$B$97,$A10,'Wage Detail Linked'!$C$5:$C$97,D$2,'Wage Detail Linked'!$E$5:$E$97,""),2))</f>
      </c>
      <c r="F10" s="16">
        <f>SUMIFS('Wage Detail Linked'!$O$5:$O$97,'Wage Detail Linked'!$B$5:$B$97,$A10,'Wage Detail Linked'!$C$5:$C$97,F$2,'Wage Detail Linked'!$E$5:$E$97,"")</f>
      </c>
      <c r="G10" s="4">
        <f>IF(SUMIFS('Wage Detail Linked'!$O$5:$O$97,'Wage Detail Linked'!$B$5:$B$97,$A10,'Wage Detail Linked'!$C$5:$C$97,F$2,'Wage Detail Linked'!$E$5:$E$97,"")=0,IF(F10&gt;0,ROUND(F10*90,2),0),ROUND(SUMIFS('Wage Detail Linked'!$R$5:$R$97,'Wage Detail Linked'!$B$5:$B$97,$A10,'Wage Detail Linked'!$C$5:$C$97,F$2,'Wage Detail Linked'!$E$5:$E$97,"")*F10/SUMIFS('Wage Detail Linked'!$O$5:$O$97,'Wage Detail Linked'!$B$5:$B$97,$A10,'Wage Detail Linked'!$C$5:$C$97,F$2,'Wage Detail Linked'!$E$5:$E$97,""),2))</f>
      </c>
      <c r="H10" s="16">
        <f>SUMIFS('Wage Detail Linked'!$O$5:$O$97,'Wage Detail Linked'!$B$5:$B$97,$A10,'Wage Detail Linked'!$C$5:$C$97,H$2,'Wage Detail Linked'!$E$5:$E$97,"")</f>
      </c>
      <c r="I10" s="4">
        <f>IF(SUMIFS('Wage Detail Linked'!$O$5:$O$97,'Wage Detail Linked'!$B$5:$B$97,$A10,'Wage Detail Linked'!$C$5:$C$97,H$2,'Wage Detail Linked'!$E$5:$E$97,"")=0,IF(H10&gt;0,ROUND(H10*90,2),0),ROUND(SUMIFS('Wage Detail Linked'!$R$5:$R$97,'Wage Detail Linked'!$B$5:$B$97,$A10,'Wage Detail Linked'!$C$5:$C$97,H$2,'Wage Detail Linked'!$E$5:$E$97,"")*H10/SUMIFS('Wage Detail Linked'!$O$5:$O$97,'Wage Detail Linked'!$B$5:$B$97,$A10,'Wage Detail Linked'!$C$5:$C$97,H$2,'Wage Detail Linked'!$E$5:$E$97,""),2))</f>
      </c>
      <c r="J10" s="16">
        <f>SUMIFS('Wage Detail Linked'!$O$5:$O$97,'Wage Detail Linked'!$B$5:$B$97,$A10,'Wage Detail Linked'!$C$5:$C$97,J$2,'Wage Detail Linked'!$E$5:$E$97,"")</f>
      </c>
      <c r="K10" s="4">
        <f>IF(SUMIFS('Wage Detail Linked'!$O$5:$O$97,'Wage Detail Linked'!$B$5:$B$97,$A10,'Wage Detail Linked'!$C$5:$C$97,J$2,'Wage Detail Linked'!$E$5:$E$97,"")=0,IF(J10&gt;0,ROUND(J10*90,2),0),ROUND(SUMIFS('Wage Detail Linked'!$R$5:$R$97,'Wage Detail Linked'!$B$5:$B$97,$A10,'Wage Detail Linked'!$C$5:$C$97,J$2,'Wage Detail Linked'!$E$5:$E$97,"")*J10/SUMIFS('Wage Detail Linked'!$O$5:$O$97,'Wage Detail Linked'!$B$5:$B$97,$A10,'Wage Detail Linked'!$C$5:$C$97,J$2,'Wage Detail Linked'!$E$5:$E$97,""),2))</f>
      </c>
      <c r="L10" s="16">
        <f>SUMIFS('Wage Detail Linked'!$O$5:$O$97,'Wage Detail Linked'!$B$5:$B$97,$A10,'Wage Detail Linked'!$C$5:$C$97,L$2,'Wage Detail Linked'!$E$5:$E$97,"")</f>
      </c>
      <c r="M10" s="4">
        <f>IF(SUMIFS('Wage Detail Linked'!$O$5:$O$97,'Wage Detail Linked'!$B$5:$B$97,$A10,'Wage Detail Linked'!$C$5:$C$97,L$2,'Wage Detail Linked'!$E$5:$E$97,"")=0,IF(L10&gt;0,ROUND(L10*90,2),0),ROUND(SUMIFS('Wage Detail Linked'!$R$5:$R$97,'Wage Detail Linked'!$B$5:$B$97,$A10,'Wage Detail Linked'!$C$5:$C$97,L$2,'Wage Detail Linked'!$E$5:$E$97,"")*L10/SUMIFS('Wage Detail Linked'!$O$5:$O$97,'Wage Detail Linked'!$B$5:$B$97,$A10,'Wage Detail Linked'!$C$5:$C$97,L$2,'Wage Detail Linked'!$E$5:$E$97,""),2))</f>
      </c>
      <c r="N10" s="16">
        <f>SUMIFS('Wage Detail Linked'!$O$5:$O$97,'Wage Detail Linked'!$B$5:$B$97,$A10,'Wage Detail Linked'!$C$5:$C$97,N$2,'Wage Detail Linked'!$E$5:$E$97,"")</f>
      </c>
      <c r="O10" s="4">
        <f>IF(SUMIFS('Wage Detail Linked'!$O$5:$O$97,'Wage Detail Linked'!$B$5:$B$97,$A10,'Wage Detail Linked'!$C$5:$C$97,N$2,'Wage Detail Linked'!$E$5:$E$97,"")=0,IF(N10&gt;0,ROUND(N10*90,2),0),ROUND(SUMIFS('Wage Detail Linked'!$R$5:$R$97,'Wage Detail Linked'!$B$5:$B$97,$A10,'Wage Detail Linked'!$C$5:$C$97,N$2,'Wage Detail Linked'!$E$5:$E$97,"")*N10/SUMIFS('Wage Detail Linked'!$O$5:$O$97,'Wage Detail Linked'!$B$5:$B$97,$A10,'Wage Detail Linked'!$C$5:$C$97,N$2,'Wage Detail Linked'!$E$5:$E$97,""),2))</f>
      </c>
      <c r="P10" s="16">
        <f>'Missed Shifts'!C22</f>
      </c>
      <c r="Q10" s="13">
        <f>IF('Missed Shifts'!C22=0,IF(P10&gt;0,ROUND(P10*90,2),0),ROUND('Missed Shifts'!D22*P10/'Missed Shifts'!C22,2))</f>
      </c>
      <c r="R10" s="10">
        <f>SUM(B10,D10,F10,H10,J10,L10,N10,P10)</f>
      </c>
      <c r="S10" s="5">
        <f>SUM(C10,E10,G10,I10,K10,M10,O10,Q10)</f>
      </c>
      <c r="T10" s="4">
        <v>0</v>
      </c>
      <c r="U10" s="7">
        <v>0</v>
      </c>
      <c r="V10" s="4">
        <f>MAX(0,T10-U10)</f>
      </c>
      <c r="W10" s="4">
        <v>0</v>
      </c>
      <c r="X10" s="7">
        <v>0</v>
      </c>
      <c r="Y10" s="4">
        <f>MAX(0,0-X10)</f>
      </c>
      <c r="Z10" s="4">
        <f>U10+X10</f>
      </c>
      <c r="AA10" s="13">
        <f>MAX(0,S10-Z10)</f>
      </c>
    </row>
    <row r="11">
      <c r="A11" s="1" t="inlineStr">
        <is>
          <t xml:space="preserve">Joshua Motsamai Nteo</t>
        </is>
      </c>
      <c r="B11" s="16">
        <f>SUMIFS('Wage Detail Linked'!$O$5:$O$97,'Wage Detail Linked'!$B$5:$B$97,$A11,'Wage Detail Linked'!$C$5:$C$97,B$2,'Wage Detail Linked'!$E$5:$E$97,"")</f>
      </c>
      <c r="C11" s="4">
        <f>IF(SUMIFS('Wage Detail Linked'!$O$5:$O$97,'Wage Detail Linked'!$B$5:$B$97,$A11,'Wage Detail Linked'!$C$5:$C$97,B$2,'Wage Detail Linked'!$E$5:$E$97,"")=0,IF(B11&gt;0,ROUND(B11*90,2),0),ROUND(SUMIFS('Wage Detail Linked'!$R$5:$R$97,'Wage Detail Linked'!$B$5:$B$97,$A11,'Wage Detail Linked'!$C$5:$C$97,B$2,'Wage Detail Linked'!$E$5:$E$97,"")*B11/SUMIFS('Wage Detail Linked'!$O$5:$O$97,'Wage Detail Linked'!$B$5:$B$97,$A11,'Wage Detail Linked'!$C$5:$C$97,B$2,'Wage Detail Linked'!$E$5:$E$97,""),2))</f>
      </c>
      <c r="D11" s="16">
        <f>SUMIFS('Wage Detail Linked'!$O$5:$O$97,'Wage Detail Linked'!$B$5:$B$97,$A11,'Wage Detail Linked'!$C$5:$C$97,D$2,'Wage Detail Linked'!$E$5:$E$97,"")</f>
      </c>
      <c r="E11" s="4">
        <f>IF(SUMIFS('Wage Detail Linked'!$O$5:$O$97,'Wage Detail Linked'!$B$5:$B$97,$A11,'Wage Detail Linked'!$C$5:$C$97,D$2,'Wage Detail Linked'!$E$5:$E$97,"")=0,IF(D11&gt;0,ROUND(D11*90,2),0),ROUND(SUMIFS('Wage Detail Linked'!$R$5:$R$97,'Wage Detail Linked'!$B$5:$B$97,$A11,'Wage Detail Linked'!$C$5:$C$97,D$2,'Wage Detail Linked'!$E$5:$E$97,"")*D11/SUMIFS('Wage Detail Linked'!$O$5:$O$97,'Wage Detail Linked'!$B$5:$B$97,$A11,'Wage Detail Linked'!$C$5:$C$97,D$2,'Wage Detail Linked'!$E$5:$E$97,""),2))</f>
      </c>
      <c r="F11" s="16">
        <f>SUMIFS('Wage Detail Linked'!$O$5:$O$97,'Wage Detail Linked'!$B$5:$B$97,$A11,'Wage Detail Linked'!$C$5:$C$97,F$2,'Wage Detail Linked'!$E$5:$E$97,"")</f>
      </c>
      <c r="G11" s="4">
        <f>IF(SUMIFS('Wage Detail Linked'!$O$5:$O$97,'Wage Detail Linked'!$B$5:$B$97,$A11,'Wage Detail Linked'!$C$5:$C$97,F$2,'Wage Detail Linked'!$E$5:$E$97,"")=0,IF(F11&gt;0,ROUND(F11*90,2),0),ROUND(SUMIFS('Wage Detail Linked'!$R$5:$R$97,'Wage Detail Linked'!$B$5:$B$97,$A11,'Wage Detail Linked'!$C$5:$C$97,F$2,'Wage Detail Linked'!$E$5:$E$97,"")*F11/SUMIFS('Wage Detail Linked'!$O$5:$O$97,'Wage Detail Linked'!$B$5:$B$97,$A11,'Wage Detail Linked'!$C$5:$C$97,F$2,'Wage Detail Linked'!$E$5:$E$97,""),2))</f>
      </c>
      <c r="H11" s="16">
        <f>SUMIFS('Wage Detail Linked'!$O$5:$O$97,'Wage Detail Linked'!$B$5:$B$97,$A11,'Wage Detail Linked'!$C$5:$C$97,H$2,'Wage Detail Linked'!$E$5:$E$97,"")</f>
      </c>
      <c r="I11" s="4">
        <f>IF(SUMIFS('Wage Detail Linked'!$O$5:$O$97,'Wage Detail Linked'!$B$5:$B$97,$A11,'Wage Detail Linked'!$C$5:$C$97,H$2,'Wage Detail Linked'!$E$5:$E$97,"")=0,IF(H11&gt;0,ROUND(H11*90,2),0),ROUND(SUMIFS('Wage Detail Linked'!$R$5:$R$97,'Wage Detail Linked'!$B$5:$B$97,$A11,'Wage Detail Linked'!$C$5:$C$97,H$2,'Wage Detail Linked'!$E$5:$E$97,"")*H11/SUMIFS('Wage Detail Linked'!$O$5:$O$97,'Wage Detail Linked'!$B$5:$B$97,$A11,'Wage Detail Linked'!$C$5:$C$97,H$2,'Wage Detail Linked'!$E$5:$E$97,""),2))</f>
      </c>
      <c r="J11" s="16">
        <f>SUMIFS('Wage Detail Linked'!$O$5:$O$97,'Wage Detail Linked'!$B$5:$B$97,$A11,'Wage Detail Linked'!$C$5:$C$97,J$2,'Wage Detail Linked'!$E$5:$E$97,"")</f>
      </c>
      <c r="K11" s="4">
        <f>IF(SUMIFS('Wage Detail Linked'!$O$5:$O$97,'Wage Detail Linked'!$B$5:$B$97,$A11,'Wage Detail Linked'!$C$5:$C$97,J$2,'Wage Detail Linked'!$E$5:$E$97,"")=0,IF(J11&gt;0,ROUND(J11*90,2),0),ROUND(SUMIFS('Wage Detail Linked'!$R$5:$R$97,'Wage Detail Linked'!$B$5:$B$97,$A11,'Wage Detail Linked'!$C$5:$C$97,J$2,'Wage Detail Linked'!$E$5:$E$97,"")*J11/SUMIFS('Wage Detail Linked'!$O$5:$O$97,'Wage Detail Linked'!$B$5:$B$97,$A11,'Wage Detail Linked'!$C$5:$C$97,J$2,'Wage Detail Linked'!$E$5:$E$97,""),2))</f>
      </c>
      <c r="L11" s="16">
        <f>SUMIFS('Wage Detail Linked'!$O$5:$O$97,'Wage Detail Linked'!$B$5:$B$97,$A11,'Wage Detail Linked'!$C$5:$C$97,L$2,'Wage Detail Linked'!$E$5:$E$97,"")</f>
      </c>
      <c r="M11" s="4">
        <f>IF(SUMIFS('Wage Detail Linked'!$O$5:$O$97,'Wage Detail Linked'!$B$5:$B$97,$A11,'Wage Detail Linked'!$C$5:$C$97,L$2,'Wage Detail Linked'!$E$5:$E$97,"")=0,IF(L11&gt;0,ROUND(L11*90,2),0),ROUND(SUMIFS('Wage Detail Linked'!$R$5:$R$97,'Wage Detail Linked'!$B$5:$B$97,$A11,'Wage Detail Linked'!$C$5:$C$97,L$2,'Wage Detail Linked'!$E$5:$E$97,"")*L11/SUMIFS('Wage Detail Linked'!$O$5:$O$97,'Wage Detail Linked'!$B$5:$B$97,$A11,'Wage Detail Linked'!$C$5:$C$97,L$2,'Wage Detail Linked'!$E$5:$E$97,""),2))</f>
      </c>
      <c r="N11" s="16">
        <f>SUMIFS('Wage Detail Linked'!$O$5:$O$97,'Wage Detail Linked'!$B$5:$B$97,$A11,'Wage Detail Linked'!$C$5:$C$97,N$2,'Wage Detail Linked'!$E$5:$E$97,"")</f>
      </c>
      <c r="O11" s="4">
        <f>IF(SUMIFS('Wage Detail Linked'!$O$5:$O$97,'Wage Detail Linked'!$B$5:$B$97,$A11,'Wage Detail Linked'!$C$5:$C$97,N$2,'Wage Detail Linked'!$E$5:$E$97,"")=0,IF(N11&gt;0,ROUND(N11*90,2),0),ROUND(SUMIFS('Wage Detail Linked'!$R$5:$R$97,'Wage Detail Linked'!$B$5:$B$97,$A11,'Wage Detail Linked'!$C$5:$C$97,N$2,'Wage Detail Linked'!$E$5:$E$97,"")*N11/SUMIFS('Wage Detail Linked'!$O$5:$O$97,'Wage Detail Linked'!$B$5:$B$97,$A11,'Wage Detail Linked'!$C$5:$C$97,N$2,'Wage Detail Linked'!$E$5:$E$97,""),2))</f>
      </c>
      <c r="P11" s="16">
        <f>'Missed Shifts'!C27</f>
      </c>
      <c r="Q11" s="13">
        <f>IF('Missed Shifts'!C27=0,IF(P11&gt;0,ROUND(P11*90,2),0),ROUND('Missed Shifts'!D27*P11/'Missed Shifts'!C27,2))</f>
      </c>
      <c r="R11" s="10">
        <f>SUM(B11,D11,F11,H11,J11,L11,N11,P11)</f>
      </c>
      <c r="S11" s="5">
        <f>SUM(C11,E11,G11,I11,K11,M11,O11,Q11)</f>
      </c>
      <c r="T11" s="4">
        <v>0</v>
      </c>
      <c r="U11" s="7">
        <v>0</v>
      </c>
      <c r="V11" s="4">
        <f>MAX(0,T11-U11)</f>
      </c>
      <c r="W11" s="4">
        <v>0</v>
      </c>
      <c r="X11" s="7">
        <v>0</v>
      </c>
      <c r="Y11" s="4">
        <f>MAX(0,0-X11)</f>
      </c>
      <c r="Z11" s="4">
        <f>U11+X11</f>
      </c>
      <c r="AA11" s="13">
        <f>MAX(0,S11-Z11)</f>
      </c>
    </row>
    <row r="12">
      <c r="A12" s="1" t="inlineStr">
        <is>
          <t xml:space="preserve">Lebo Lebo</t>
        </is>
      </c>
      <c r="B12" s="16">
        <f>SUMIFS('Wage Detail Linked'!$O$5:$O$97,'Wage Detail Linked'!$B$5:$B$97,$A12,'Wage Detail Linked'!$C$5:$C$97,B$2,'Wage Detail Linked'!$E$5:$E$97,"")</f>
      </c>
      <c r="C12" s="4">
        <f>IF(SUMIFS('Wage Detail Linked'!$O$5:$O$97,'Wage Detail Linked'!$B$5:$B$97,$A12,'Wage Detail Linked'!$C$5:$C$97,B$2,'Wage Detail Linked'!$E$5:$E$97,"")=0,IF(B12&gt;0,ROUND(B12*90,2),0),ROUND(SUMIFS('Wage Detail Linked'!$R$5:$R$97,'Wage Detail Linked'!$B$5:$B$97,$A12,'Wage Detail Linked'!$C$5:$C$97,B$2,'Wage Detail Linked'!$E$5:$E$97,"")*B12/SUMIFS('Wage Detail Linked'!$O$5:$O$97,'Wage Detail Linked'!$B$5:$B$97,$A12,'Wage Detail Linked'!$C$5:$C$97,B$2,'Wage Detail Linked'!$E$5:$E$97,""),2))</f>
      </c>
      <c r="D12" s="16">
        <f>SUMIFS('Wage Detail Linked'!$O$5:$O$97,'Wage Detail Linked'!$B$5:$B$97,$A12,'Wage Detail Linked'!$C$5:$C$97,D$2,'Wage Detail Linked'!$E$5:$E$97,"")</f>
      </c>
      <c r="E12" s="4">
        <f>IF(SUMIFS('Wage Detail Linked'!$O$5:$O$97,'Wage Detail Linked'!$B$5:$B$97,$A12,'Wage Detail Linked'!$C$5:$C$97,D$2,'Wage Detail Linked'!$E$5:$E$97,"")=0,IF(D12&gt;0,ROUND(D12*90,2),0),ROUND(SUMIFS('Wage Detail Linked'!$R$5:$R$97,'Wage Detail Linked'!$B$5:$B$97,$A12,'Wage Detail Linked'!$C$5:$C$97,D$2,'Wage Detail Linked'!$E$5:$E$97,"")*D12/SUMIFS('Wage Detail Linked'!$O$5:$O$97,'Wage Detail Linked'!$B$5:$B$97,$A12,'Wage Detail Linked'!$C$5:$C$97,D$2,'Wage Detail Linked'!$E$5:$E$97,""),2))</f>
      </c>
      <c r="F12" s="16">
        <f>SUMIFS('Wage Detail Linked'!$O$5:$O$97,'Wage Detail Linked'!$B$5:$B$97,$A12,'Wage Detail Linked'!$C$5:$C$97,F$2,'Wage Detail Linked'!$E$5:$E$97,"")</f>
      </c>
      <c r="G12" s="4">
        <f>IF(SUMIFS('Wage Detail Linked'!$O$5:$O$97,'Wage Detail Linked'!$B$5:$B$97,$A12,'Wage Detail Linked'!$C$5:$C$97,F$2,'Wage Detail Linked'!$E$5:$E$97,"")=0,IF(F12&gt;0,ROUND(F12*90,2),0),ROUND(SUMIFS('Wage Detail Linked'!$R$5:$R$97,'Wage Detail Linked'!$B$5:$B$97,$A12,'Wage Detail Linked'!$C$5:$C$97,F$2,'Wage Detail Linked'!$E$5:$E$97,"")*F12/SUMIFS('Wage Detail Linked'!$O$5:$O$97,'Wage Detail Linked'!$B$5:$B$97,$A12,'Wage Detail Linked'!$C$5:$C$97,F$2,'Wage Detail Linked'!$E$5:$E$97,""),2))</f>
      </c>
      <c r="H12" s="16">
        <f>SUMIFS('Wage Detail Linked'!$O$5:$O$97,'Wage Detail Linked'!$B$5:$B$97,$A12,'Wage Detail Linked'!$C$5:$C$97,H$2,'Wage Detail Linked'!$E$5:$E$97,"")</f>
      </c>
      <c r="I12" s="4">
        <f>IF(SUMIFS('Wage Detail Linked'!$O$5:$O$97,'Wage Detail Linked'!$B$5:$B$97,$A12,'Wage Detail Linked'!$C$5:$C$97,H$2,'Wage Detail Linked'!$E$5:$E$97,"")=0,IF(H12&gt;0,ROUND(H12*90,2),0),ROUND(SUMIFS('Wage Detail Linked'!$R$5:$R$97,'Wage Detail Linked'!$B$5:$B$97,$A12,'Wage Detail Linked'!$C$5:$C$97,H$2,'Wage Detail Linked'!$E$5:$E$97,"")*H12/SUMIFS('Wage Detail Linked'!$O$5:$O$97,'Wage Detail Linked'!$B$5:$B$97,$A12,'Wage Detail Linked'!$C$5:$C$97,H$2,'Wage Detail Linked'!$E$5:$E$97,""),2))</f>
      </c>
      <c r="J12" s="16">
        <f>SUMIFS('Wage Detail Linked'!$O$5:$O$97,'Wage Detail Linked'!$B$5:$B$97,$A12,'Wage Detail Linked'!$C$5:$C$97,J$2,'Wage Detail Linked'!$E$5:$E$97,"")</f>
      </c>
      <c r="K12" s="4">
        <f>IF(SUMIFS('Wage Detail Linked'!$O$5:$O$97,'Wage Detail Linked'!$B$5:$B$97,$A12,'Wage Detail Linked'!$C$5:$C$97,J$2,'Wage Detail Linked'!$E$5:$E$97,"")=0,IF(J12&gt;0,ROUND(J12*90,2),0),ROUND(SUMIFS('Wage Detail Linked'!$R$5:$R$97,'Wage Detail Linked'!$B$5:$B$97,$A12,'Wage Detail Linked'!$C$5:$C$97,J$2,'Wage Detail Linked'!$E$5:$E$97,"")*J12/SUMIFS('Wage Detail Linked'!$O$5:$O$97,'Wage Detail Linked'!$B$5:$B$97,$A12,'Wage Detail Linked'!$C$5:$C$97,J$2,'Wage Detail Linked'!$E$5:$E$97,""),2))</f>
      </c>
      <c r="L12" s="16">
        <f>SUMIFS('Wage Detail Linked'!$O$5:$O$97,'Wage Detail Linked'!$B$5:$B$97,$A12,'Wage Detail Linked'!$C$5:$C$97,L$2,'Wage Detail Linked'!$E$5:$E$97,"")</f>
      </c>
      <c r="M12" s="4">
        <f>IF(SUMIFS('Wage Detail Linked'!$O$5:$O$97,'Wage Detail Linked'!$B$5:$B$97,$A12,'Wage Detail Linked'!$C$5:$C$97,L$2,'Wage Detail Linked'!$E$5:$E$97,"")=0,IF(L12&gt;0,ROUND(L12*90,2),0),ROUND(SUMIFS('Wage Detail Linked'!$R$5:$R$97,'Wage Detail Linked'!$B$5:$B$97,$A12,'Wage Detail Linked'!$C$5:$C$97,L$2,'Wage Detail Linked'!$E$5:$E$97,"")*L12/SUMIFS('Wage Detail Linked'!$O$5:$O$97,'Wage Detail Linked'!$B$5:$B$97,$A12,'Wage Detail Linked'!$C$5:$C$97,L$2,'Wage Detail Linked'!$E$5:$E$97,""),2))</f>
      </c>
      <c r="N12" s="16">
        <f>SUMIFS('Wage Detail Linked'!$O$5:$O$97,'Wage Detail Linked'!$B$5:$B$97,$A12,'Wage Detail Linked'!$C$5:$C$97,N$2,'Wage Detail Linked'!$E$5:$E$97,"")</f>
      </c>
      <c r="O12" s="4">
        <f>IF(SUMIFS('Wage Detail Linked'!$O$5:$O$97,'Wage Detail Linked'!$B$5:$B$97,$A12,'Wage Detail Linked'!$C$5:$C$97,N$2,'Wage Detail Linked'!$E$5:$E$97,"")=0,IF(N12&gt;0,ROUND(N12*90,2),0),ROUND(SUMIFS('Wage Detail Linked'!$R$5:$R$97,'Wage Detail Linked'!$B$5:$B$97,$A12,'Wage Detail Linked'!$C$5:$C$97,N$2,'Wage Detail Linked'!$E$5:$E$97,"")*N12/SUMIFS('Wage Detail Linked'!$O$5:$O$97,'Wage Detail Linked'!$B$5:$B$97,$A12,'Wage Detail Linked'!$C$5:$C$97,N$2,'Wage Detail Linked'!$E$5:$E$97,""),2))</f>
      </c>
      <c r="P12" s="16">
        <f>0</f>
      </c>
      <c r="Q12" s="13">
        <f>IF(P12&gt;0,ROUND(P12*90,2),0)</f>
      </c>
      <c r="R12" s="10">
        <f>SUM(B12,D12,F12,H12,J12,L12,N12,P12)</f>
      </c>
      <c r="S12" s="5">
        <f>SUM(C12,E12,G12,I12,K12,M12,O12,Q12)</f>
      </c>
      <c r="T12" s="4">
        <v>0</v>
      </c>
      <c r="U12" s="7">
        <v>0</v>
      </c>
      <c r="V12" s="4">
        <f>MAX(0,T12-U12)</f>
      </c>
      <c r="W12" s="4">
        <v>0</v>
      </c>
      <c r="X12" s="7">
        <v>0</v>
      </c>
      <c r="Y12" s="4">
        <f>MAX(0,0-X12)</f>
      </c>
      <c r="Z12" s="4">
        <f>U12+X12</f>
      </c>
      <c r="AA12" s="13">
        <f>MAX(0,S12-Z12)</f>
      </c>
    </row>
    <row r="13">
      <c r="A13" s="1" t="inlineStr">
        <is>
          <t xml:space="preserve">Patrick Ngozo</t>
        </is>
      </c>
      <c r="B13" s="16">
        <f>SUMIFS('Wage Detail Linked'!$O$5:$O$97,'Wage Detail Linked'!$B$5:$B$97,$A13,'Wage Detail Linked'!$C$5:$C$97,B$2,'Wage Detail Linked'!$E$5:$E$97,"")</f>
      </c>
      <c r="C13" s="4">
        <f>IF(SUMIFS('Wage Detail Linked'!$O$5:$O$97,'Wage Detail Linked'!$B$5:$B$97,$A13,'Wage Detail Linked'!$C$5:$C$97,B$2,'Wage Detail Linked'!$E$5:$E$97,"")=0,IF(B13&gt;0,ROUND(B13*90,2),0),ROUND(SUMIFS('Wage Detail Linked'!$R$5:$R$97,'Wage Detail Linked'!$B$5:$B$97,$A13,'Wage Detail Linked'!$C$5:$C$97,B$2,'Wage Detail Linked'!$E$5:$E$97,"")*B13/SUMIFS('Wage Detail Linked'!$O$5:$O$97,'Wage Detail Linked'!$B$5:$B$97,$A13,'Wage Detail Linked'!$C$5:$C$97,B$2,'Wage Detail Linked'!$E$5:$E$97,""),2))</f>
      </c>
      <c r="D13" s="16">
        <f>SUMIFS('Wage Detail Linked'!$O$5:$O$97,'Wage Detail Linked'!$B$5:$B$97,$A13,'Wage Detail Linked'!$C$5:$C$97,D$2,'Wage Detail Linked'!$E$5:$E$97,"")</f>
      </c>
      <c r="E13" s="4">
        <f>IF(SUMIFS('Wage Detail Linked'!$O$5:$O$97,'Wage Detail Linked'!$B$5:$B$97,$A13,'Wage Detail Linked'!$C$5:$C$97,D$2,'Wage Detail Linked'!$E$5:$E$97,"")=0,IF(D13&gt;0,ROUND(D13*90,2),0),ROUND(SUMIFS('Wage Detail Linked'!$R$5:$R$97,'Wage Detail Linked'!$B$5:$B$97,$A13,'Wage Detail Linked'!$C$5:$C$97,D$2,'Wage Detail Linked'!$E$5:$E$97,"")*D13/SUMIFS('Wage Detail Linked'!$O$5:$O$97,'Wage Detail Linked'!$B$5:$B$97,$A13,'Wage Detail Linked'!$C$5:$C$97,D$2,'Wage Detail Linked'!$E$5:$E$97,""),2))</f>
      </c>
      <c r="F13" s="16">
        <f>SUMIFS('Wage Detail Linked'!$O$5:$O$97,'Wage Detail Linked'!$B$5:$B$97,$A13,'Wage Detail Linked'!$C$5:$C$97,F$2,'Wage Detail Linked'!$E$5:$E$97,"")</f>
      </c>
      <c r="G13" s="4">
        <f>IF(SUMIFS('Wage Detail Linked'!$O$5:$O$97,'Wage Detail Linked'!$B$5:$B$97,$A13,'Wage Detail Linked'!$C$5:$C$97,F$2,'Wage Detail Linked'!$E$5:$E$97,"")=0,IF(F13&gt;0,ROUND(F13*90,2),0),ROUND(SUMIFS('Wage Detail Linked'!$R$5:$R$97,'Wage Detail Linked'!$B$5:$B$97,$A13,'Wage Detail Linked'!$C$5:$C$97,F$2,'Wage Detail Linked'!$E$5:$E$97,"")*F13/SUMIFS('Wage Detail Linked'!$O$5:$O$97,'Wage Detail Linked'!$B$5:$B$97,$A13,'Wage Detail Linked'!$C$5:$C$97,F$2,'Wage Detail Linked'!$E$5:$E$97,""),2))</f>
      </c>
      <c r="H13" s="16">
        <f>SUMIFS('Wage Detail Linked'!$O$5:$O$97,'Wage Detail Linked'!$B$5:$B$97,$A13,'Wage Detail Linked'!$C$5:$C$97,H$2,'Wage Detail Linked'!$E$5:$E$97,"")</f>
      </c>
      <c r="I13" s="4">
        <f>IF(SUMIFS('Wage Detail Linked'!$O$5:$O$97,'Wage Detail Linked'!$B$5:$B$97,$A13,'Wage Detail Linked'!$C$5:$C$97,H$2,'Wage Detail Linked'!$E$5:$E$97,"")=0,IF(H13&gt;0,ROUND(H13*90,2),0),ROUND(SUMIFS('Wage Detail Linked'!$R$5:$R$97,'Wage Detail Linked'!$B$5:$B$97,$A13,'Wage Detail Linked'!$C$5:$C$97,H$2,'Wage Detail Linked'!$E$5:$E$97,"")*H13/SUMIFS('Wage Detail Linked'!$O$5:$O$97,'Wage Detail Linked'!$B$5:$B$97,$A13,'Wage Detail Linked'!$C$5:$C$97,H$2,'Wage Detail Linked'!$E$5:$E$97,""),2))</f>
      </c>
      <c r="J13" s="16">
        <f>SUMIFS('Wage Detail Linked'!$O$5:$O$97,'Wage Detail Linked'!$B$5:$B$97,$A13,'Wage Detail Linked'!$C$5:$C$97,J$2,'Wage Detail Linked'!$E$5:$E$97,"")</f>
      </c>
      <c r="K13" s="4">
        <f>IF(SUMIFS('Wage Detail Linked'!$O$5:$O$97,'Wage Detail Linked'!$B$5:$B$97,$A13,'Wage Detail Linked'!$C$5:$C$97,J$2,'Wage Detail Linked'!$E$5:$E$97,"")=0,IF(J13&gt;0,ROUND(J13*90,2),0),ROUND(SUMIFS('Wage Detail Linked'!$R$5:$R$97,'Wage Detail Linked'!$B$5:$B$97,$A13,'Wage Detail Linked'!$C$5:$C$97,J$2,'Wage Detail Linked'!$E$5:$E$97,"")*J13/SUMIFS('Wage Detail Linked'!$O$5:$O$97,'Wage Detail Linked'!$B$5:$B$97,$A13,'Wage Detail Linked'!$C$5:$C$97,J$2,'Wage Detail Linked'!$E$5:$E$97,""),2))</f>
      </c>
      <c r="L13" s="16">
        <f>SUMIFS('Wage Detail Linked'!$O$5:$O$97,'Wage Detail Linked'!$B$5:$B$97,$A13,'Wage Detail Linked'!$C$5:$C$97,L$2,'Wage Detail Linked'!$E$5:$E$97,"")</f>
      </c>
      <c r="M13" s="4">
        <f>IF(SUMIFS('Wage Detail Linked'!$O$5:$O$97,'Wage Detail Linked'!$B$5:$B$97,$A13,'Wage Detail Linked'!$C$5:$C$97,L$2,'Wage Detail Linked'!$E$5:$E$97,"")=0,IF(L13&gt;0,ROUND(L13*90,2),0),ROUND(SUMIFS('Wage Detail Linked'!$R$5:$R$97,'Wage Detail Linked'!$B$5:$B$97,$A13,'Wage Detail Linked'!$C$5:$C$97,L$2,'Wage Detail Linked'!$E$5:$E$97,"")*L13/SUMIFS('Wage Detail Linked'!$O$5:$O$97,'Wage Detail Linked'!$B$5:$B$97,$A13,'Wage Detail Linked'!$C$5:$C$97,L$2,'Wage Detail Linked'!$E$5:$E$97,""),2))</f>
      </c>
      <c r="N13" s="16">
        <f>SUMIFS('Wage Detail Linked'!$O$5:$O$97,'Wage Detail Linked'!$B$5:$B$97,$A13,'Wage Detail Linked'!$C$5:$C$97,N$2,'Wage Detail Linked'!$E$5:$E$97,"")</f>
      </c>
      <c r="O13" s="4">
        <f>IF(SUMIFS('Wage Detail Linked'!$O$5:$O$97,'Wage Detail Linked'!$B$5:$B$97,$A13,'Wage Detail Linked'!$C$5:$C$97,N$2,'Wage Detail Linked'!$E$5:$E$97,"")=0,IF(N13&gt;0,ROUND(N13*90,2),0),ROUND(SUMIFS('Wage Detail Linked'!$R$5:$R$97,'Wage Detail Linked'!$B$5:$B$97,$A13,'Wage Detail Linked'!$C$5:$C$97,N$2,'Wage Detail Linked'!$E$5:$E$97,"")*N13/SUMIFS('Wage Detail Linked'!$O$5:$O$97,'Wage Detail Linked'!$B$5:$B$97,$A13,'Wage Detail Linked'!$C$5:$C$97,N$2,'Wage Detail Linked'!$E$5:$E$97,""),2))</f>
      </c>
      <c r="P13" s="16">
        <f>'Missed Shifts'!C32</f>
      </c>
      <c r="Q13" s="13">
        <f>IF('Missed Shifts'!C32=0,IF(P13&gt;0,ROUND(P13*90,2),0),ROUND('Missed Shifts'!D32*P13/'Missed Shifts'!C32,2))</f>
      </c>
      <c r="R13" s="10">
        <f>SUM(B13,D13,F13,H13,J13,L13,N13,P13)</f>
      </c>
      <c r="S13" s="5">
        <f>SUM(C13,E13,G13,I13,K13,M13,O13,Q13)</f>
      </c>
      <c r="T13" s="4">
        <v>0</v>
      </c>
      <c r="U13" s="7">
        <v>0</v>
      </c>
      <c r="V13" s="4">
        <f>MAX(0,T13-U13)</f>
      </c>
      <c r="W13" s="4">
        <v>0</v>
      </c>
      <c r="X13" s="7">
        <v>0</v>
      </c>
      <c r="Y13" s="4">
        <f>MAX(0,0-X13)</f>
      </c>
      <c r="Z13" s="4">
        <f>U13+X13</f>
      </c>
      <c r="AA13" s="13">
        <f>MAX(0,S13-Z13)</f>
      </c>
    </row>
    <row r="14">
      <c r="A14" s="1" t="inlineStr">
        <is>
          <t xml:space="preserve">Sharleen Ndlovu</t>
        </is>
      </c>
      <c r="B14" s="16">
        <f>SUMIFS('Wage Detail Linked'!$O$5:$O$97,'Wage Detail Linked'!$B$5:$B$97,$A14,'Wage Detail Linked'!$C$5:$C$97,B$2,'Wage Detail Linked'!$E$5:$E$97,"")</f>
      </c>
      <c r="C14" s="4">
        <f>IF(SUMIFS('Wage Detail Linked'!$O$5:$O$97,'Wage Detail Linked'!$B$5:$B$97,$A14,'Wage Detail Linked'!$C$5:$C$97,B$2,'Wage Detail Linked'!$E$5:$E$97,"")=0,IF(B14&gt;0,ROUND(B14*90,2),0),ROUND(SUMIFS('Wage Detail Linked'!$R$5:$R$97,'Wage Detail Linked'!$B$5:$B$97,$A14,'Wage Detail Linked'!$C$5:$C$97,B$2,'Wage Detail Linked'!$E$5:$E$97,"")*B14/SUMIFS('Wage Detail Linked'!$O$5:$O$97,'Wage Detail Linked'!$B$5:$B$97,$A14,'Wage Detail Linked'!$C$5:$C$97,B$2,'Wage Detail Linked'!$E$5:$E$97,""),2))</f>
      </c>
      <c r="D14" s="16">
        <f>SUMIFS('Wage Detail Linked'!$O$5:$O$97,'Wage Detail Linked'!$B$5:$B$97,$A14,'Wage Detail Linked'!$C$5:$C$97,D$2,'Wage Detail Linked'!$E$5:$E$97,"")</f>
      </c>
      <c r="E14" s="4">
        <f>IF(SUMIFS('Wage Detail Linked'!$O$5:$O$97,'Wage Detail Linked'!$B$5:$B$97,$A14,'Wage Detail Linked'!$C$5:$C$97,D$2,'Wage Detail Linked'!$E$5:$E$97,"")=0,IF(D14&gt;0,ROUND(D14*90,2),0),ROUND(SUMIFS('Wage Detail Linked'!$R$5:$R$97,'Wage Detail Linked'!$B$5:$B$97,$A14,'Wage Detail Linked'!$C$5:$C$97,D$2,'Wage Detail Linked'!$E$5:$E$97,"")*D14/SUMIFS('Wage Detail Linked'!$O$5:$O$97,'Wage Detail Linked'!$B$5:$B$97,$A14,'Wage Detail Linked'!$C$5:$C$97,D$2,'Wage Detail Linked'!$E$5:$E$97,""),2))</f>
      </c>
      <c r="F14" s="16">
        <f>SUMIFS('Wage Detail Linked'!$O$5:$O$97,'Wage Detail Linked'!$B$5:$B$97,$A14,'Wage Detail Linked'!$C$5:$C$97,F$2,'Wage Detail Linked'!$E$5:$E$97,"")</f>
      </c>
      <c r="G14" s="4">
        <f>IF(SUMIFS('Wage Detail Linked'!$O$5:$O$97,'Wage Detail Linked'!$B$5:$B$97,$A14,'Wage Detail Linked'!$C$5:$C$97,F$2,'Wage Detail Linked'!$E$5:$E$97,"")=0,IF(F14&gt;0,ROUND(F14*90,2),0),ROUND(SUMIFS('Wage Detail Linked'!$R$5:$R$97,'Wage Detail Linked'!$B$5:$B$97,$A14,'Wage Detail Linked'!$C$5:$C$97,F$2,'Wage Detail Linked'!$E$5:$E$97,"")*F14/SUMIFS('Wage Detail Linked'!$O$5:$O$97,'Wage Detail Linked'!$B$5:$B$97,$A14,'Wage Detail Linked'!$C$5:$C$97,F$2,'Wage Detail Linked'!$E$5:$E$97,""),2))</f>
      </c>
      <c r="H14" s="16">
        <f>SUMIFS('Wage Detail Linked'!$O$5:$O$97,'Wage Detail Linked'!$B$5:$B$97,$A14,'Wage Detail Linked'!$C$5:$C$97,H$2,'Wage Detail Linked'!$E$5:$E$97,"")</f>
      </c>
      <c r="I14" s="4">
        <f>IF(SUMIFS('Wage Detail Linked'!$O$5:$O$97,'Wage Detail Linked'!$B$5:$B$97,$A14,'Wage Detail Linked'!$C$5:$C$97,H$2,'Wage Detail Linked'!$E$5:$E$97,"")=0,IF(H14&gt;0,ROUND(H14*90,2),0),ROUND(SUMIFS('Wage Detail Linked'!$R$5:$R$97,'Wage Detail Linked'!$B$5:$B$97,$A14,'Wage Detail Linked'!$C$5:$C$97,H$2,'Wage Detail Linked'!$E$5:$E$97,"")*H14/SUMIFS('Wage Detail Linked'!$O$5:$O$97,'Wage Detail Linked'!$B$5:$B$97,$A14,'Wage Detail Linked'!$C$5:$C$97,H$2,'Wage Detail Linked'!$E$5:$E$97,""),2))</f>
      </c>
      <c r="J14" s="16">
        <f>SUMIFS('Wage Detail Linked'!$O$5:$O$97,'Wage Detail Linked'!$B$5:$B$97,$A14,'Wage Detail Linked'!$C$5:$C$97,J$2,'Wage Detail Linked'!$E$5:$E$97,"")</f>
      </c>
      <c r="K14" s="4">
        <f>IF(SUMIFS('Wage Detail Linked'!$O$5:$O$97,'Wage Detail Linked'!$B$5:$B$97,$A14,'Wage Detail Linked'!$C$5:$C$97,J$2,'Wage Detail Linked'!$E$5:$E$97,"")=0,IF(J14&gt;0,ROUND(J14*90,2),0),ROUND(SUMIFS('Wage Detail Linked'!$R$5:$R$97,'Wage Detail Linked'!$B$5:$B$97,$A14,'Wage Detail Linked'!$C$5:$C$97,J$2,'Wage Detail Linked'!$E$5:$E$97,"")*J14/SUMIFS('Wage Detail Linked'!$O$5:$O$97,'Wage Detail Linked'!$B$5:$B$97,$A14,'Wage Detail Linked'!$C$5:$C$97,J$2,'Wage Detail Linked'!$E$5:$E$97,""),2))</f>
      </c>
      <c r="L14" s="16">
        <f>SUMIFS('Wage Detail Linked'!$O$5:$O$97,'Wage Detail Linked'!$B$5:$B$97,$A14,'Wage Detail Linked'!$C$5:$C$97,L$2,'Wage Detail Linked'!$E$5:$E$97,"")</f>
      </c>
      <c r="M14" s="4">
        <f>IF(SUMIFS('Wage Detail Linked'!$O$5:$O$97,'Wage Detail Linked'!$B$5:$B$97,$A14,'Wage Detail Linked'!$C$5:$C$97,L$2,'Wage Detail Linked'!$E$5:$E$97,"")=0,IF(L14&gt;0,ROUND(L14*90,2),0),ROUND(SUMIFS('Wage Detail Linked'!$R$5:$R$97,'Wage Detail Linked'!$B$5:$B$97,$A14,'Wage Detail Linked'!$C$5:$C$97,L$2,'Wage Detail Linked'!$E$5:$E$97,"")*L14/SUMIFS('Wage Detail Linked'!$O$5:$O$97,'Wage Detail Linked'!$B$5:$B$97,$A14,'Wage Detail Linked'!$C$5:$C$97,L$2,'Wage Detail Linked'!$E$5:$E$97,""),2))</f>
      </c>
      <c r="N14" s="16">
        <f>SUMIFS('Wage Detail Linked'!$O$5:$O$97,'Wage Detail Linked'!$B$5:$B$97,$A14,'Wage Detail Linked'!$C$5:$C$97,N$2,'Wage Detail Linked'!$E$5:$E$97,"")</f>
      </c>
      <c r="O14" s="4">
        <f>IF(SUMIFS('Wage Detail Linked'!$O$5:$O$97,'Wage Detail Linked'!$B$5:$B$97,$A14,'Wage Detail Linked'!$C$5:$C$97,N$2,'Wage Detail Linked'!$E$5:$E$97,"")=0,IF(N14&gt;0,ROUND(N14*90,2),0),ROUND(SUMIFS('Wage Detail Linked'!$R$5:$R$97,'Wage Detail Linked'!$B$5:$B$97,$A14,'Wage Detail Linked'!$C$5:$C$97,N$2,'Wage Detail Linked'!$E$5:$E$97,"")*N14/SUMIFS('Wage Detail Linked'!$O$5:$O$97,'Wage Detail Linked'!$B$5:$B$97,$A14,'Wage Detail Linked'!$C$5:$C$97,N$2,'Wage Detail Linked'!$E$5:$E$97,""),2))</f>
      </c>
      <c r="P14" s="16">
        <f>0</f>
      </c>
      <c r="Q14" s="13">
        <f>IF(P14&gt;0,ROUND(P14*90,2),0)</f>
      </c>
      <c r="R14" s="10">
        <f>SUM(B14,D14,F14,H14,J14,L14,N14,P14)</f>
      </c>
      <c r="S14" s="5">
        <v>3000</v>
      </c>
      <c r="T14" s="4">
        <v>0</v>
      </c>
      <c r="U14" s="7">
        <v>0</v>
      </c>
      <c r="V14" s="4">
        <f>MAX(0,T14-U14)</f>
      </c>
      <c r="W14" s="4">
        <v>0</v>
      </c>
      <c r="X14" s="7">
        <v>0</v>
      </c>
      <c r="Y14" s="4">
        <f>MAX(0,0-X14)</f>
      </c>
      <c r="Z14" s="4">
        <f>U14+X14</f>
      </c>
      <c r="AA14" s="13">
        <f>MAX(0,S14-Z14)</f>
      </c>
    </row>
    <row r="15">
      <c r="A15" s="1" t="inlineStr">
        <is>
          <t xml:space="preserve">Solomon Moyo</t>
        </is>
      </c>
      <c r="B15" s="16">
        <f>SUMIFS('Wage Detail Linked'!$O$5:$O$97,'Wage Detail Linked'!$B$5:$B$97,$A15,'Wage Detail Linked'!$C$5:$C$97,B$2,'Wage Detail Linked'!$E$5:$E$97,"")</f>
      </c>
      <c r="C15" s="4">
        <f>IF(SUMIFS('Wage Detail Linked'!$O$5:$O$97,'Wage Detail Linked'!$B$5:$B$97,$A15,'Wage Detail Linked'!$C$5:$C$97,B$2,'Wage Detail Linked'!$E$5:$E$97,"")=0,IF(B15&gt;0,ROUND(B15*90,2),0),ROUND(SUMIFS('Wage Detail Linked'!$R$5:$R$97,'Wage Detail Linked'!$B$5:$B$97,$A15,'Wage Detail Linked'!$C$5:$C$97,B$2,'Wage Detail Linked'!$E$5:$E$97,"")*B15/SUMIFS('Wage Detail Linked'!$O$5:$O$97,'Wage Detail Linked'!$B$5:$B$97,$A15,'Wage Detail Linked'!$C$5:$C$97,B$2,'Wage Detail Linked'!$E$5:$E$97,""),2))</f>
      </c>
      <c r="D15" s="16">
        <f>SUMIFS('Wage Detail Linked'!$O$5:$O$97,'Wage Detail Linked'!$B$5:$B$97,$A15,'Wage Detail Linked'!$C$5:$C$97,D$2,'Wage Detail Linked'!$E$5:$E$97,"")</f>
      </c>
      <c r="E15" s="4">
        <f>IF(SUMIFS('Wage Detail Linked'!$O$5:$O$97,'Wage Detail Linked'!$B$5:$B$97,$A15,'Wage Detail Linked'!$C$5:$C$97,D$2,'Wage Detail Linked'!$E$5:$E$97,"")=0,IF(D15&gt;0,ROUND(D15*90,2),0),ROUND(SUMIFS('Wage Detail Linked'!$R$5:$R$97,'Wage Detail Linked'!$B$5:$B$97,$A15,'Wage Detail Linked'!$C$5:$C$97,D$2,'Wage Detail Linked'!$E$5:$E$97,"")*D15/SUMIFS('Wage Detail Linked'!$O$5:$O$97,'Wage Detail Linked'!$B$5:$B$97,$A15,'Wage Detail Linked'!$C$5:$C$97,D$2,'Wage Detail Linked'!$E$5:$E$97,""),2))</f>
      </c>
      <c r="F15" s="16">
        <f>SUMIFS('Wage Detail Linked'!$O$5:$O$97,'Wage Detail Linked'!$B$5:$B$97,$A15,'Wage Detail Linked'!$C$5:$C$97,F$2,'Wage Detail Linked'!$E$5:$E$97,"")</f>
      </c>
      <c r="G15" s="4">
        <f>IF(SUMIFS('Wage Detail Linked'!$O$5:$O$97,'Wage Detail Linked'!$B$5:$B$97,$A15,'Wage Detail Linked'!$C$5:$C$97,F$2,'Wage Detail Linked'!$E$5:$E$97,"")=0,IF(F15&gt;0,ROUND(F15*90,2),0),ROUND(SUMIFS('Wage Detail Linked'!$R$5:$R$97,'Wage Detail Linked'!$B$5:$B$97,$A15,'Wage Detail Linked'!$C$5:$C$97,F$2,'Wage Detail Linked'!$E$5:$E$97,"")*F15/SUMIFS('Wage Detail Linked'!$O$5:$O$97,'Wage Detail Linked'!$B$5:$B$97,$A15,'Wage Detail Linked'!$C$5:$C$97,F$2,'Wage Detail Linked'!$E$5:$E$97,""),2))</f>
      </c>
      <c r="H15" s="16">
        <f>SUMIFS('Wage Detail Linked'!$O$5:$O$97,'Wage Detail Linked'!$B$5:$B$97,$A15,'Wage Detail Linked'!$C$5:$C$97,H$2,'Wage Detail Linked'!$E$5:$E$97,"")</f>
      </c>
      <c r="I15" s="4">
        <f>IF(SUMIFS('Wage Detail Linked'!$O$5:$O$97,'Wage Detail Linked'!$B$5:$B$97,$A15,'Wage Detail Linked'!$C$5:$C$97,H$2,'Wage Detail Linked'!$E$5:$E$97,"")=0,IF(H15&gt;0,ROUND(H15*90,2),0),ROUND(SUMIFS('Wage Detail Linked'!$R$5:$R$97,'Wage Detail Linked'!$B$5:$B$97,$A15,'Wage Detail Linked'!$C$5:$C$97,H$2,'Wage Detail Linked'!$E$5:$E$97,"")*H15/SUMIFS('Wage Detail Linked'!$O$5:$O$97,'Wage Detail Linked'!$B$5:$B$97,$A15,'Wage Detail Linked'!$C$5:$C$97,H$2,'Wage Detail Linked'!$E$5:$E$97,""),2))</f>
      </c>
      <c r="J15" s="16">
        <f>SUMIFS('Wage Detail Linked'!$O$5:$O$97,'Wage Detail Linked'!$B$5:$B$97,$A15,'Wage Detail Linked'!$C$5:$C$97,J$2,'Wage Detail Linked'!$E$5:$E$97,"")</f>
      </c>
      <c r="K15" s="4">
        <f>IF(SUMIFS('Wage Detail Linked'!$O$5:$O$97,'Wage Detail Linked'!$B$5:$B$97,$A15,'Wage Detail Linked'!$C$5:$C$97,J$2,'Wage Detail Linked'!$E$5:$E$97,"")=0,IF(J15&gt;0,ROUND(J15*90,2),0),ROUND(SUMIFS('Wage Detail Linked'!$R$5:$R$97,'Wage Detail Linked'!$B$5:$B$97,$A15,'Wage Detail Linked'!$C$5:$C$97,J$2,'Wage Detail Linked'!$E$5:$E$97,"")*J15/SUMIFS('Wage Detail Linked'!$O$5:$O$97,'Wage Detail Linked'!$B$5:$B$97,$A15,'Wage Detail Linked'!$C$5:$C$97,J$2,'Wage Detail Linked'!$E$5:$E$97,""),2))</f>
      </c>
      <c r="L15" s="16">
        <f>SUMIFS('Wage Detail Linked'!$O$5:$O$97,'Wage Detail Linked'!$B$5:$B$97,$A15,'Wage Detail Linked'!$C$5:$C$97,L$2,'Wage Detail Linked'!$E$5:$E$97,"")</f>
      </c>
      <c r="M15" s="4">
        <f>IF(SUMIFS('Wage Detail Linked'!$O$5:$O$97,'Wage Detail Linked'!$B$5:$B$97,$A15,'Wage Detail Linked'!$C$5:$C$97,L$2,'Wage Detail Linked'!$E$5:$E$97,"")=0,IF(L15&gt;0,ROUND(L15*90,2),0),ROUND(SUMIFS('Wage Detail Linked'!$R$5:$R$97,'Wage Detail Linked'!$B$5:$B$97,$A15,'Wage Detail Linked'!$C$5:$C$97,L$2,'Wage Detail Linked'!$E$5:$E$97,"")*L15/SUMIFS('Wage Detail Linked'!$O$5:$O$97,'Wage Detail Linked'!$B$5:$B$97,$A15,'Wage Detail Linked'!$C$5:$C$97,L$2,'Wage Detail Linked'!$E$5:$E$97,""),2))</f>
      </c>
      <c r="N15" s="16">
        <f>SUMIFS('Wage Detail Linked'!$O$5:$O$97,'Wage Detail Linked'!$B$5:$B$97,$A15,'Wage Detail Linked'!$C$5:$C$97,N$2,'Wage Detail Linked'!$E$5:$E$97,"")</f>
      </c>
      <c r="O15" s="4">
        <f>IF(SUMIFS('Wage Detail Linked'!$O$5:$O$97,'Wage Detail Linked'!$B$5:$B$97,$A15,'Wage Detail Linked'!$C$5:$C$97,N$2,'Wage Detail Linked'!$E$5:$E$97,"")=0,IF(N15&gt;0,ROUND(N15*90,2),0),ROUND(SUMIFS('Wage Detail Linked'!$R$5:$R$97,'Wage Detail Linked'!$B$5:$B$97,$A15,'Wage Detail Linked'!$C$5:$C$97,N$2,'Wage Detail Linked'!$E$5:$E$97,"")*N15/SUMIFS('Wage Detail Linked'!$O$5:$O$97,'Wage Detail Linked'!$B$5:$B$97,$A15,'Wage Detail Linked'!$C$5:$C$97,N$2,'Wage Detail Linked'!$E$5:$E$97,""),2))</f>
      </c>
      <c r="P15" s="16">
        <f>'Missed Shifts'!C36</f>
      </c>
      <c r="Q15" s="13">
        <f>IF('Missed Shifts'!C36=0,IF(P15&gt;0,ROUND(P15*90,2),0),ROUND('Missed Shifts'!D36*P15/'Missed Shifts'!C36,2))</f>
      </c>
      <c r="R15" s="10">
        <f>SUM(B15,D15,F15,H15,J15,L15,N15,P15)</f>
      </c>
      <c r="S15" s="5">
        <f>SUM(C15,E15,G15,I15,K15,M15,O15,Q15)</f>
      </c>
      <c r="T15" s="4">
        <v>0</v>
      </c>
      <c r="U15" s="7">
        <v>0</v>
      </c>
      <c r="V15" s="4">
        <f>MAX(0,T15-U15)</f>
      </c>
      <c r="W15" s="4">
        <v>0</v>
      </c>
      <c r="X15" s="7">
        <v>0</v>
      </c>
      <c r="Y15" s="4">
        <f>MAX(0,0-X15)</f>
      </c>
      <c r="Z15" s="4">
        <f>U15+X15</f>
      </c>
      <c r="AA15" s="13">
        <f>MAX(0,S15-Z15)</f>
      </c>
    </row>
    <row r="16">
      <c r="A16" s="1" t="inlineStr">
        <is>
          <t xml:space="preserve">Takavaudza Chokuda</t>
        </is>
      </c>
      <c r="B16" s="16">
        <f>SUMIFS('Wage Detail Linked'!$O$5:$O$97,'Wage Detail Linked'!$B$5:$B$97,$A16,'Wage Detail Linked'!$C$5:$C$97,B$2,'Wage Detail Linked'!$E$5:$E$97,"")</f>
      </c>
      <c r="C16" s="4">
        <f>IF(SUMIFS('Wage Detail Linked'!$O$5:$O$97,'Wage Detail Linked'!$B$5:$B$97,$A16,'Wage Detail Linked'!$C$5:$C$97,B$2,'Wage Detail Linked'!$E$5:$E$97,"")=0,IF(B16&gt;0,ROUND(B16*90,2),0),ROUND(SUMIFS('Wage Detail Linked'!$R$5:$R$97,'Wage Detail Linked'!$B$5:$B$97,$A16,'Wage Detail Linked'!$C$5:$C$97,B$2,'Wage Detail Linked'!$E$5:$E$97,"")*B16/SUMIFS('Wage Detail Linked'!$O$5:$O$97,'Wage Detail Linked'!$B$5:$B$97,$A16,'Wage Detail Linked'!$C$5:$C$97,B$2,'Wage Detail Linked'!$E$5:$E$97,""),2))</f>
      </c>
      <c r="D16" s="16">
        <f>SUMIFS('Wage Detail Linked'!$O$5:$O$97,'Wage Detail Linked'!$B$5:$B$97,$A16,'Wage Detail Linked'!$C$5:$C$97,D$2,'Wage Detail Linked'!$E$5:$E$97,"")</f>
      </c>
      <c r="E16" s="4">
        <f>IF(SUMIFS('Wage Detail Linked'!$O$5:$O$97,'Wage Detail Linked'!$B$5:$B$97,$A16,'Wage Detail Linked'!$C$5:$C$97,D$2,'Wage Detail Linked'!$E$5:$E$97,"")=0,IF(D16&gt;0,ROUND(D16*90,2),0),ROUND(SUMIFS('Wage Detail Linked'!$R$5:$R$97,'Wage Detail Linked'!$B$5:$B$97,$A16,'Wage Detail Linked'!$C$5:$C$97,D$2,'Wage Detail Linked'!$E$5:$E$97,"")*D16/SUMIFS('Wage Detail Linked'!$O$5:$O$97,'Wage Detail Linked'!$B$5:$B$97,$A16,'Wage Detail Linked'!$C$5:$C$97,D$2,'Wage Detail Linked'!$E$5:$E$97,""),2))</f>
      </c>
      <c r="F16" s="16">
        <f>SUMIFS('Wage Detail Linked'!$O$5:$O$97,'Wage Detail Linked'!$B$5:$B$97,$A16,'Wage Detail Linked'!$C$5:$C$97,F$2,'Wage Detail Linked'!$E$5:$E$97,"")</f>
      </c>
      <c r="G16" s="4">
        <f>IF(SUMIFS('Wage Detail Linked'!$O$5:$O$97,'Wage Detail Linked'!$B$5:$B$97,$A16,'Wage Detail Linked'!$C$5:$C$97,F$2,'Wage Detail Linked'!$E$5:$E$97,"")=0,IF(F16&gt;0,ROUND(F16*90,2),0),ROUND(SUMIFS('Wage Detail Linked'!$R$5:$R$97,'Wage Detail Linked'!$B$5:$B$97,$A16,'Wage Detail Linked'!$C$5:$C$97,F$2,'Wage Detail Linked'!$E$5:$E$97,"")*F16/SUMIFS('Wage Detail Linked'!$O$5:$O$97,'Wage Detail Linked'!$B$5:$B$97,$A16,'Wage Detail Linked'!$C$5:$C$97,F$2,'Wage Detail Linked'!$E$5:$E$97,""),2))</f>
      </c>
      <c r="H16" s="16">
        <f>SUMIFS('Wage Detail Linked'!$O$5:$O$97,'Wage Detail Linked'!$B$5:$B$97,$A16,'Wage Detail Linked'!$C$5:$C$97,H$2,'Wage Detail Linked'!$E$5:$E$97,"")</f>
      </c>
      <c r="I16" s="4">
        <f>IF(SUMIFS('Wage Detail Linked'!$O$5:$O$97,'Wage Detail Linked'!$B$5:$B$97,$A16,'Wage Detail Linked'!$C$5:$C$97,H$2,'Wage Detail Linked'!$E$5:$E$97,"")=0,IF(H16&gt;0,ROUND(H16*90,2),0),ROUND(SUMIFS('Wage Detail Linked'!$R$5:$R$97,'Wage Detail Linked'!$B$5:$B$97,$A16,'Wage Detail Linked'!$C$5:$C$97,H$2,'Wage Detail Linked'!$E$5:$E$97,"")*H16/SUMIFS('Wage Detail Linked'!$O$5:$O$97,'Wage Detail Linked'!$B$5:$B$97,$A16,'Wage Detail Linked'!$C$5:$C$97,H$2,'Wage Detail Linked'!$E$5:$E$97,""),2))</f>
      </c>
      <c r="J16" s="16">
        <f>SUMIFS('Wage Detail Linked'!$O$5:$O$97,'Wage Detail Linked'!$B$5:$B$97,$A16,'Wage Detail Linked'!$C$5:$C$97,J$2,'Wage Detail Linked'!$E$5:$E$97,"")</f>
      </c>
      <c r="K16" s="4">
        <f>IF(SUMIFS('Wage Detail Linked'!$O$5:$O$97,'Wage Detail Linked'!$B$5:$B$97,$A16,'Wage Detail Linked'!$C$5:$C$97,J$2,'Wage Detail Linked'!$E$5:$E$97,"")=0,IF(J16&gt;0,ROUND(J16*90,2),0),ROUND(SUMIFS('Wage Detail Linked'!$R$5:$R$97,'Wage Detail Linked'!$B$5:$B$97,$A16,'Wage Detail Linked'!$C$5:$C$97,J$2,'Wage Detail Linked'!$E$5:$E$97,"")*J16/SUMIFS('Wage Detail Linked'!$O$5:$O$97,'Wage Detail Linked'!$B$5:$B$97,$A16,'Wage Detail Linked'!$C$5:$C$97,J$2,'Wage Detail Linked'!$E$5:$E$97,""),2))</f>
      </c>
      <c r="L16" s="16">
        <f>SUMIFS('Wage Detail Linked'!$O$5:$O$97,'Wage Detail Linked'!$B$5:$B$97,$A16,'Wage Detail Linked'!$C$5:$C$97,L$2,'Wage Detail Linked'!$E$5:$E$97,"")</f>
      </c>
      <c r="M16" s="4">
        <f>IF(SUMIFS('Wage Detail Linked'!$O$5:$O$97,'Wage Detail Linked'!$B$5:$B$97,$A16,'Wage Detail Linked'!$C$5:$C$97,L$2,'Wage Detail Linked'!$E$5:$E$97,"")=0,IF(L16&gt;0,ROUND(L16*90,2),0),ROUND(SUMIFS('Wage Detail Linked'!$R$5:$R$97,'Wage Detail Linked'!$B$5:$B$97,$A16,'Wage Detail Linked'!$C$5:$C$97,L$2,'Wage Detail Linked'!$E$5:$E$97,"")*L16/SUMIFS('Wage Detail Linked'!$O$5:$O$97,'Wage Detail Linked'!$B$5:$B$97,$A16,'Wage Detail Linked'!$C$5:$C$97,L$2,'Wage Detail Linked'!$E$5:$E$97,""),2))</f>
      </c>
      <c r="N16" s="16">
        <f>SUMIFS('Wage Detail Linked'!$O$5:$O$97,'Wage Detail Linked'!$B$5:$B$97,$A16,'Wage Detail Linked'!$C$5:$C$97,N$2,'Wage Detail Linked'!$E$5:$E$97,"")</f>
      </c>
      <c r="O16" s="4">
        <f>IF(SUMIFS('Wage Detail Linked'!$O$5:$O$97,'Wage Detail Linked'!$B$5:$B$97,$A16,'Wage Detail Linked'!$C$5:$C$97,N$2,'Wage Detail Linked'!$E$5:$E$97,"")=0,IF(N16&gt;0,ROUND(N16*90,2),0),ROUND(SUMIFS('Wage Detail Linked'!$R$5:$R$97,'Wage Detail Linked'!$B$5:$B$97,$A16,'Wage Detail Linked'!$C$5:$C$97,N$2,'Wage Detail Linked'!$E$5:$E$97,"")*N16/SUMIFS('Wage Detail Linked'!$O$5:$O$97,'Wage Detail Linked'!$B$5:$B$97,$A16,'Wage Detail Linked'!$C$5:$C$97,N$2,'Wage Detail Linked'!$E$5:$E$97,""),2))</f>
      </c>
      <c r="P16" s="16">
        <f>'Missed Shifts'!C39</f>
      </c>
      <c r="Q16" s="13">
        <f>IF('Missed Shifts'!C39=0,IF(P16&gt;0,ROUND(P16*90,2),0),ROUND('Missed Shifts'!D39*P16/'Missed Shifts'!C39,2))</f>
      </c>
      <c r="R16" s="10">
        <f>SUM(B16,D16,F16,H16,J16,L16,N16,P16)</f>
      </c>
      <c r="S16" s="5">
        <f>SUM(C16,E16,G16,I16,K16,M16,O16,Q16)</f>
      </c>
      <c r="T16" s="4">
        <v>0</v>
      </c>
      <c r="U16" s="7">
        <v>0</v>
      </c>
      <c r="V16" s="4">
        <f>MAX(0,T16-U16)</f>
      </c>
      <c r="W16" s="4">
        <v>0</v>
      </c>
      <c r="X16" s="7">
        <v>0</v>
      </c>
      <c r="Y16" s="4">
        <f>MAX(0,0-X16)</f>
      </c>
      <c r="Z16" s="4">
        <f>U16+X16</f>
      </c>
      <c r="AA16" s="13">
        <f>MAX(0,S16-Z16)</f>
      </c>
    </row>
    <row r="17">
      <c r="A17" s="1" t="inlineStr">
        <is>
          <t xml:space="preserve">Thandanani Nkala</t>
        </is>
      </c>
      <c r="B17" s="16">
        <f>SUMIFS('Wage Detail Linked'!$O$5:$O$97,'Wage Detail Linked'!$B$5:$B$97,$A17,'Wage Detail Linked'!$C$5:$C$97,B$2,'Wage Detail Linked'!$E$5:$E$97,"")</f>
      </c>
      <c r="C17" s="4">
        <f>IF(SUMIFS('Wage Detail Linked'!$O$5:$O$97,'Wage Detail Linked'!$B$5:$B$97,$A17,'Wage Detail Linked'!$C$5:$C$97,B$2,'Wage Detail Linked'!$E$5:$E$97,"")=0,IF(B17&gt;0,ROUND(B17*90,2),0),ROUND(SUMIFS('Wage Detail Linked'!$R$5:$R$97,'Wage Detail Linked'!$B$5:$B$97,$A17,'Wage Detail Linked'!$C$5:$C$97,B$2,'Wage Detail Linked'!$E$5:$E$97,"")*B17/SUMIFS('Wage Detail Linked'!$O$5:$O$97,'Wage Detail Linked'!$B$5:$B$97,$A17,'Wage Detail Linked'!$C$5:$C$97,B$2,'Wage Detail Linked'!$E$5:$E$97,""),2))</f>
      </c>
      <c r="D17" s="16">
        <f>SUMIFS('Wage Detail Linked'!$O$5:$O$97,'Wage Detail Linked'!$B$5:$B$97,$A17,'Wage Detail Linked'!$C$5:$C$97,D$2,'Wage Detail Linked'!$E$5:$E$97,"")</f>
      </c>
      <c r="E17" s="4">
        <f>IF(SUMIFS('Wage Detail Linked'!$O$5:$O$97,'Wage Detail Linked'!$B$5:$B$97,$A17,'Wage Detail Linked'!$C$5:$C$97,D$2,'Wage Detail Linked'!$E$5:$E$97,"")=0,IF(D17&gt;0,ROUND(D17*90,2),0),ROUND(SUMIFS('Wage Detail Linked'!$R$5:$R$97,'Wage Detail Linked'!$B$5:$B$97,$A17,'Wage Detail Linked'!$C$5:$C$97,D$2,'Wage Detail Linked'!$E$5:$E$97,"")*D17/SUMIFS('Wage Detail Linked'!$O$5:$O$97,'Wage Detail Linked'!$B$5:$B$97,$A17,'Wage Detail Linked'!$C$5:$C$97,D$2,'Wage Detail Linked'!$E$5:$E$97,""),2))</f>
      </c>
      <c r="F17" s="16">
        <f>SUMIFS('Wage Detail Linked'!$O$5:$O$97,'Wage Detail Linked'!$B$5:$B$97,$A17,'Wage Detail Linked'!$C$5:$C$97,F$2,'Wage Detail Linked'!$E$5:$E$97,"")</f>
      </c>
      <c r="G17" s="4">
        <f>IF(SUMIFS('Wage Detail Linked'!$O$5:$O$97,'Wage Detail Linked'!$B$5:$B$97,$A17,'Wage Detail Linked'!$C$5:$C$97,F$2,'Wage Detail Linked'!$E$5:$E$97,"")=0,IF(F17&gt;0,ROUND(F17*90,2),0),ROUND(SUMIFS('Wage Detail Linked'!$R$5:$R$97,'Wage Detail Linked'!$B$5:$B$97,$A17,'Wage Detail Linked'!$C$5:$C$97,F$2,'Wage Detail Linked'!$E$5:$E$97,"")*F17/SUMIFS('Wage Detail Linked'!$O$5:$O$97,'Wage Detail Linked'!$B$5:$B$97,$A17,'Wage Detail Linked'!$C$5:$C$97,F$2,'Wage Detail Linked'!$E$5:$E$97,""),2))</f>
      </c>
      <c r="H17" s="16">
        <f>SUMIFS('Wage Detail Linked'!$O$5:$O$97,'Wage Detail Linked'!$B$5:$B$97,$A17,'Wage Detail Linked'!$C$5:$C$97,H$2,'Wage Detail Linked'!$E$5:$E$97,"")</f>
      </c>
      <c r="I17" s="4">
        <f>IF(SUMIFS('Wage Detail Linked'!$O$5:$O$97,'Wage Detail Linked'!$B$5:$B$97,$A17,'Wage Detail Linked'!$C$5:$C$97,H$2,'Wage Detail Linked'!$E$5:$E$97,"")=0,IF(H17&gt;0,ROUND(H17*90,2),0),ROUND(SUMIFS('Wage Detail Linked'!$R$5:$R$97,'Wage Detail Linked'!$B$5:$B$97,$A17,'Wage Detail Linked'!$C$5:$C$97,H$2,'Wage Detail Linked'!$E$5:$E$97,"")*H17/SUMIFS('Wage Detail Linked'!$O$5:$O$97,'Wage Detail Linked'!$B$5:$B$97,$A17,'Wage Detail Linked'!$C$5:$C$97,H$2,'Wage Detail Linked'!$E$5:$E$97,""),2))</f>
      </c>
      <c r="J17" s="16">
        <f>SUMIFS('Wage Detail Linked'!$O$5:$O$97,'Wage Detail Linked'!$B$5:$B$97,$A17,'Wage Detail Linked'!$C$5:$C$97,J$2,'Wage Detail Linked'!$E$5:$E$97,"")</f>
      </c>
      <c r="K17" s="4">
        <f>IF(SUMIFS('Wage Detail Linked'!$O$5:$O$97,'Wage Detail Linked'!$B$5:$B$97,$A17,'Wage Detail Linked'!$C$5:$C$97,J$2,'Wage Detail Linked'!$E$5:$E$97,"")=0,IF(J17&gt;0,ROUND(J17*90,2),0),ROUND(SUMIFS('Wage Detail Linked'!$R$5:$R$97,'Wage Detail Linked'!$B$5:$B$97,$A17,'Wage Detail Linked'!$C$5:$C$97,J$2,'Wage Detail Linked'!$E$5:$E$97,"")*J17/SUMIFS('Wage Detail Linked'!$O$5:$O$97,'Wage Detail Linked'!$B$5:$B$97,$A17,'Wage Detail Linked'!$C$5:$C$97,J$2,'Wage Detail Linked'!$E$5:$E$97,""),2))</f>
      </c>
      <c r="L17" s="16">
        <f>SUMIFS('Wage Detail Linked'!$O$5:$O$97,'Wage Detail Linked'!$B$5:$B$97,$A17,'Wage Detail Linked'!$C$5:$C$97,L$2,'Wage Detail Linked'!$E$5:$E$97,"")</f>
      </c>
      <c r="M17" s="4">
        <f>IF(SUMIFS('Wage Detail Linked'!$O$5:$O$97,'Wage Detail Linked'!$B$5:$B$97,$A17,'Wage Detail Linked'!$C$5:$C$97,L$2,'Wage Detail Linked'!$E$5:$E$97,"")=0,IF(L17&gt;0,ROUND(L17*90,2),0),ROUND(SUMIFS('Wage Detail Linked'!$R$5:$R$97,'Wage Detail Linked'!$B$5:$B$97,$A17,'Wage Detail Linked'!$C$5:$C$97,L$2,'Wage Detail Linked'!$E$5:$E$97,"")*L17/SUMIFS('Wage Detail Linked'!$O$5:$O$97,'Wage Detail Linked'!$B$5:$B$97,$A17,'Wage Detail Linked'!$C$5:$C$97,L$2,'Wage Detail Linked'!$E$5:$E$97,""),2))</f>
      </c>
      <c r="N17" s="16">
        <f>SUMIFS('Wage Detail Linked'!$O$5:$O$97,'Wage Detail Linked'!$B$5:$B$97,$A17,'Wage Detail Linked'!$C$5:$C$97,N$2,'Wage Detail Linked'!$E$5:$E$97,"")</f>
      </c>
      <c r="O17" s="4">
        <f>IF(SUMIFS('Wage Detail Linked'!$O$5:$O$97,'Wage Detail Linked'!$B$5:$B$97,$A17,'Wage Detail Linked'!$C$5:$C$97,N$2,'Wage Detail Linked'!$E$5:$E$97,"")=0,IF(N17&gt;0,ROUND(N17*90,2),0),ROUND(SUMIFS('Wage Detail Linked'!$R$5:$R$97,'Wage Detail Linked'!$B$5:$B$97,$A17,'Wage Detail Linked'!$C$5:$C$97,N$2,'Wage Detail Linked'!$E$5:$E$97,"")*N17/SUMIFS('Wage Detail Linked'!$O$5:$O$97,'Wage Detail Linked'!$B$5:$B$97,$A17,'Wage Detail Linked'!$C$5:$C$97,N$2,'Wage Detail Linked'!$E$5:$E$97,""),2))</f>
      </c>
      <c r="P17" s="16">
        <f>0</f>
      </c>
      <c r="Q17" s="13">
        <f>IF(P17&gt;0,ROUND(P17*90,2),0)</f>
      </c>
      <c r="R17" s="10">
        <f>SUM(B17,D17,F17,H17,J17,L17,N17,P17)</f>
      </c>
      <c r="S17" s="5">
        <f>SUM(C17,E17,G17,I17,K17,M17,O17,Q17)</f>
      </c>
      <c r="T17" s="4">
        <v>0</v>
      </c>
      <c r="U17" s="7">
        <v>0</v>
      </c>
      <c r="V17" s="4">
        <f>MAX(0,T17-U17)</f>
      </c>
      <c r="W17" s="4">
        <v>0</v>
      </c>
      <c r="X17" s="7">
        <v>0</v>
      </c>
      <c r="Y17" s="4">
        <f>MAX(0,0-X17)</f>
      </c>
      <c r="Z17" s="4">
        <f>U17+X17</f>
      </c>
      <c r="AA17" s="13">
        <f>MAX(0,S17-Z17)</f>
      </c>
    </row>
    <row r="18">
      <c r="A18" s="1" t="inlineStr">
        <is>
          <t xml:space="preserve">Thina Dyani</t>
        </is>
      </c>
      <c r="B18" s="16">
        <f>SUMIFS('Wage Detail Linked'!$O$5:$O$97,'Wage Detail Linked'!$B$5:$B$97,$A18,'Wage Detail Linked'!$C$5:$C$97,B$2,'Wage Detail Linked'!$E$5:$E$97,"")</f>
      </c>
      <c r="C18" s="4">
        <f>IF(SUMIFS('Wage Detail Linked'!$O$5:$O$97,'Wage Detail Linked'!$B$5:$B$97,$A18,'Wage Detail Linked'!$C$5:$C$97,B$2,'Wage Detail Linked'!$E$5:$E$97,"")=0,IF(B18&gt;0,ROUND(B18*90,2),0),ROUND(SUMIFS('Wage Detail Linked'!$R$5:$R$97,'Wage Detail Linked'!$B$5:$B$97,$A18,'Wage Detail Linked'!$C$5:$C$97,B$2,'Wage Detail Linked'!$E$5:$E$97,"")*B18/SUMIFS('Wage Detail Linked'!$O$5:$O$97,'Wage Detail Linked'!$B$5:$B$97,$A18,'Wage Detail Linked'!$C$5:$C$97,B$2,'Wage Detail Linked'!$E$5:$E$97,""),2))</f>
      </c>
      <c r="D18" s="16">
        <f>SUMIFS('Wage Detail Linked'!$O$5:$O$97,'Wage Detail Linked'!$B$5:$B$97,$A18,'Wage Detail Linked'!$C$5:$C$97,D$2,'Wage Detail Linked'!$E$5:$E$97,"")</f>
      </c>
      <c r="E18" s="4">
        <f>IF(SUMIFS('Wage Detail Linked'!$O$5:$O$97,'Wage Detail Linked'!$B$5:$B$97,$A18,'Wage Detail Linked'!$C$5:$C$97,D$2,'Wage Detail Linked'!$E$5:$E$97,"")=0,IF(D18&gt;0,ROUND(D18*90,2),0),ROUND(SUMIFS('Wage Detail Linked'!$R$5:$R$97,'Wage Detail Linked'!$B$5:$B$97,$A18,'Wage Detail Linked'!$C$5:$C$97,D$2,'Wage Detail Linked'!$E$5:$E$97,"")*D18/SUMIFS('Wage Detail Linked'!$O$5:$O$97,'Wage Detail Linked'!$B$5:$B$97,$A18,'Wage Detail Linked'!$C$5:$C$97,D$2,'Wage Detail Linked'!$E$5:$E$97,""),2))</f>
      </c>
      <c r="F18" s="16">
        <f>SUMIFS('Wage Detail Linked'!$O$5:$O$97,'Wage Detail Linked'!$B$5:$B$97,$A18,'Wage Detail Linked'!$C$5:$C$97,F$2,'Wage Detail Linked'!$E$5:$E$97,"")</f>
      </c>
      <c r="G18" s="4">
        <f>IF(SUMIFS('Wage Detail Linked'!$O$5:$O$97,'Wage Detail Linked'!$B$5:$B$97,$A18,'Wage Detail Linked'!$C$5:$C$97,F$2,'Wage Detail Linked'!$E$5:$E$97,"")=0,IF(F18&gt;0,ROUND(F18*90,2),0),ROUND(SUMIFS('Wage Detail Linked'!$R$5:$R$97,'Wage Detail Linked'!$B$5:$B$97,$A18,'Wage Detail Linked'!$C$5:$C$97,F$2,'Wage Detail Linked'!$E$5:$E$97,"")*F18/SUMIFS('Wage Detail Linked'!$O$5:$O$97,'Wage Detail Linked'!$B$5:$B$97,$A18,'Wage Detail Linked'!$C$5:$C$97,F$2,'Wage Detail Linked'!$E$5:$E$97,""),2))</f>
      </c>
      <c r="H18" s="16">
        <f>SUMIFS('Wage Detail Linked'!$O$5:$O$97,'Wage Detail Linked'!$B$5:$B$97,$A18,'Wage Detail Linked'!$C$5:$C$97,H$2,'Wage Detail Linked'!$E$5:$E$97,"")</f>
      </c>
      <c r="I18" s="4">
        <f>IF(SUMIFS('Wage Detail Linked'!$O$5:$O$97,'Wage Detail Linked'!$B$5:$B$97,$A18,'Wage Detail Linked'!$C$5:$C$97,H$2,'Wage Detail Linked'!$E$5:$E$97,"")=0,IF(H18&gt;0,ROUND(H18*90,2),0),ROUND(SUMIFS('Wage Detail Linked'!$R$5:$R$97,'Wage Detail Linked'!$B$5:$B$97,$A18,'Wage Detail Linked'!$C$5:$C$97,H$2,'Wage Detail Linked'!$E$5:$E$97,"")*H18/SUMIFS('Wage Detail Linked'!$O$5:$O$97,'Wage Detail Linked'!$B$5:$B$97,$A18,'Wage Detail Linked'!$C$5:$C$97,H$2,'Wage Detail Linked'!$E$5:$E$97,""),2))</f>
      </c>
      <c r="J18" s="16">
        <f>SUMIFS('Wage Detail Linked'!$O$5:$O$97,'Wage Detail Linked'!$B$5:$B$97,$A18,'Wage Detail Linked'!$C$5:$C$97,J$2,'Wage Detail Linked'!$E$5:$E$97,"")</f>
      </c>
      <c r="K18" s="4">
        <f>IF(SUMIFS('Wage Detail Linked'!$O$5:$O$97,'Wage Detail Linked'!$B$5:$B$97,$A18,'Wage Detail Linked'!$C$5:$C$97,J$2,'Wage Detail Linked'!$E$5:$E$97,"")=0,IF(J18&gt;0,ROUND(J18*90,2),0),ROUND(SUMIFS('Wage Detail Linked'!$R$5:$R$97,'Wage Detail Linked'!$B$5:$B$97,$A18,'Wage Detail Linked'!$C$5:$C$97,J$2,'Wage Detail Linked'!$E$5:$E$97,"")*J18/SUMIFS('Wage Detail Linked'!$O$5:$O$97,'Wage Detail Linked'!$B$5:$B$97,$A18,'Wage Detail Linked'!$C$5:$C$97,J$2,'Wage Detail Linked'!$E$5:$E$97,""),2))</f>
      </c>
      <c r="L18" s="16">
        <f>SUMIFS('Wage Detail Linked'!$O$5:$O$97,'Wage Detail Linked'!$B$5:$B$97,$A18,'Wage Detail Linked'!$C$5:$C$97,L$2,'Wage Detail Linked'!$E$5:$E$97,"")</f>
      </c>
      <c r="M18" s="4">
        <f>IF(SUMIFS('Wage Detail Linked'!$O$5:$O$97,'Wage Detail Linked'!$B$5:$B$97,$A18,'Wage Detail Linked'!$C$5:$C$97,L$2,'Wage Detail Linked'!$E$5:$E$97,"")=0,IF(L18&gt;0,ROUND(L18*90,2),0),ROUND(SUMIFS('Wage Detail Linked'!$R$5:$R$97,'Wage Detail Linked'!$B$5:$B$97,$A18,'Wage Detail Linked'!$C$5:$C$97,L$2,'Wage Detail Linked'!$E$5:$E$97,"")*L18/SUMIFS('Wage Detail Linked'!$O$5:$O$97,'Wage Detail Linked'!$B$5:$B$97,$A18,'Wage Detail Linked'!$C$5:$C$97,L$2,'Wage Detail Linked'!$E$5:$E$97,""),2))</f>
      </c>
      <c r="N18" s="16">
        <f>SUMIFS('Wage Detail Linked'!$O$5:$O$97,'Wage Detail Linked'!$B$5:$B$97,$A18,'Wage Detail Linked'!$C$5:$C$97,N$2,'Wage Detail Linked'!$E$5:$E$97,"")</f>
      </c>
      <c r="O18" s="4">
        <f>IF(SUMIFS('Wage Detail Linked'!$O$5:$O$97,'Wage Detail Linked'!$B$5:$B$97,$A18,'Wage Detail Linked'!$C$5:$C$97,N$2,'Wage Detail Linked'!$E$5:$E$97,"")=0,IF(N18&gt;0,ROUND(N18*90,2),0),ROUND(SUMIFS('Wage Detail Linked'!$R$5:$R$97,'Wage Detail Linked'!$B$5:$B$97,$A18,'Wage Detail Linked'!$C$5:$C$97,N$2,'Wage Detail Linked'!$E$5:$E$97,"")*N18/SUMIFS('Wage Detail Linked'!$O$5:$O$97,'Wage Detail Linked'!$B$5:$B$97,$A18,'Wage Detail Linked'!$C$5:$C$97,N$2,'Wage Detail Linked'!$E$5:$E$97,""),2))</f>
      </c>
      <c r="P18" s="16">
        <f>'Missed Shifts'!C42</f>
      </c>
      <c r="Q18" s="13">
        <f>IF('Missed Shifts'!C42=0,IF(P18&gt;0,ROUND(P18*90,2),0),ROUND('Missed Shifts'!D42*P18/'Missed Shifts'!C42,2))</f>
      </c>
      <c r="R18" s="10">
        <f>SUM(B18,D18,F18,H18,J18,L18,N18,P18)</f>
      </c>
      <c r="S18" s="5">
        <f>SUM(C18,E18,G18,I18,K18,M18,O18,Q18)</f>
      </c>
      <c r="T18" s="4">
        <v>0</v>
      </c>
      <c r="U18" s="7">
        <v>0</v>
      </c>
      <c r="V18" s="4">
        <f>MAX(0,T18-U18)</f>
      </c>
      <c r="W18" s="4">
        <v>0</v>
      </c>
      <c r="X18" s="7">
        <v>0</v>
      </c>
      <c r="Y18" s="4">
        <f>MAX(0,0-X18)</f>
      </c>
      <c r="Z18" s="4">
        <f>U18+X18</f>
      </c>
      <c r="AA18" s="13">
        <f>MAX(0,S18-Z18)</f>
      </c>
    </row>
    <row r="19">
      <c r="A19" s="1" t="inlineStr">
        <is>
          <t xml:space="preserve">Tsotlego Petrus Malakoane</t>
        </is>
      </c>
      <c r="B19" s="16">
        <f>SUMIFS('Wage Detail Linked'!$O$5:$O$97,'Wage Detail Linked'!$B$5:$B$97,$A19,'Wage Detail Linked'!$C$5:$C$97,B$2,'Wage Detail Linked'!$E$5:$E$97,"")</f>
      </c>
      <c r="C19" s="4">
        <f>IF(SUMIFS('Wage Detail Linked'!$O$5:$O$97,'Wage Detail Linked'!$B$5:$B$97,$A19,'Wage Detail Linked'!$C$5:$C$97,B$2,'Wage Detail Linked'!$E$5:$E$97,"")=0,IF(B19&gt;0,ROUND(B19*90,2),0),ROUND(SUMIFS('Wage Detail Linked'!$R$5:$R$97,'Wage Detail Linked'!$B$5:$B$97,$A19,'Wage Detail Linked'!$C$5:$C$97,B$2,'Wage Detail Linked'!$E$5:$E$97,"")*B19/SUMIFS('Wage Detail Linked'!$O$5:$O$97,'Wage Detail Linked'!$B$5:$B$97,$A19,'Wage Detail Linked'!$C$5:$C$97,B$2,'Wage Detail Linked'!$E$5:$E$97,""),2))</f>
      </c>
      <c r="D19" s="16">
        <f>SUMIFS('Wage Detail Linked'!$O$5:$O$97,'Wage Detail Linked'!$B$5:$B$97,$A19,'Wage Detail Linked'!$C$5:$C$97,D$2,'Wage Detail Linked'!$E$5:$E$97,"")</f>
      </c>
      <c r="E19" s="4">
        <f>IF(SUMIFS('Wage Detail Linked'!$O$5:$O$97,'Wage Detail Linked'!$B$5:$B$97,$A19,'Wage Detail Linked'!$C$5:$C$97,D$2,'Wage Detail Linked'!$E$5:$E$97,"")=0,IF(D19&gt;0,ROUND(D19*90,2),0),ROUND(SUMIFS('Wage Detail Linked'!$R$5:$R$97,'Wage Detail Linked'!$B$5:$B$97,$A19,'Wage Detail Linked'!$C$5:$C$97,D$2,'Wage Detail Linked'!$E$5:$E$97,"")*D19/SUMIFS('Wage Detail Linked'!$O$5:$O$97,'Wage Detail Linked'!$B$5:$B$97,$A19,'Wage Detail Linked'!$C$5:$C$97,D$2,'Wage Detail Linked'!$E$5:$E$97,""),2))</f>
      </c>
      <c r="F19" s="16">
        <f>SUMIFS('Wage Detail Linked'!$O$5:$O$97,'Wage Detail Linked'!$B$5:$B$97,$A19,'Wage Detail Linked'!$C$5:$C$97,F$2,'Wage Detail Linked'!$E$5:$E$97,"")</f>
      </c>
      <c r="G19" s="4">
        <f>IF(SUMIFS('Wage Detail Linked'!$O$5:$O$97,'Wage Detail Linked'!$B$5:$B$97,$A19,'Wage Detail Linked'!$C$5:$C$97,F$2,'Wage Detail Linked'!$E$5:$E$97,"")=0,IF(F19&gt;0,ROUND(F19*90,2),0),ROUND(SUMIFS('Wage Detail Linked'!$R$5:$R$97,'Wage Detail Linked'!$B$5:$B$97,$A19,'Wage Detail Linked'!$C$5:$C$97,F$2,'Wage Detail Linked'!$E$5:$E$97,"")*F19/SUMIFS('Wage Detail Linked'!$O$5:$O$97,'Wage Detail Linked'!$B$5:$B$97,$A19,'Wage Detail Linked'!$C$5:$C$97,F$2,'Wage Detail Linked'!$E$5:$E$97,""),2))</f>
      </c>
      <c r="H19" s="16">
        <f>SUMIFS('Wage Detail Linked'!$O$5:$O$97,'Wage Detail Linked'!$B$5:$B$97,$A19,'Wage Detail Linked'!$C$5:$C$97,H$2,'Wage Detail Linked'!$E$5:$E$97,"")</f>
      </c>
      <c r="I19" s="4">
        <f>IF(SUMIFS('Wage Detail Linked'!$O$5:$O$97,'Wage Detail Linked'!$B$5:$B$97,$A19,'Wage Detail Linked'!$C$5:$C$97,H$2,'Wage Detail Linked'!$E$5:$E$97,"")=0,IF(H19&gt;0,ROUND(H19*90,2),0),ROUND(SUMIFS('Wage Detail Linked'!$R$5:$R$97,'Wage Detail Linked'!$B$5:$B$97,$A19,'Wage Detail Linked'!$C$5:$C$97,H$2,'Wage Detail Linked'!$E$5:$E$97,"")*H19/SUMIFS('Wage Detail Linked'!$O$5:$O$97,'Wage Detail Linked'!$B$5:$B$97,$A19,'Wage Detail Linked'!$C$5:$C$97,H$2,'Wage Detail Linked'!$E$5:$E$97,""),2))</f>
      </c>
      <c r="J19" s="16">
        <f>SUMIFS('Wage Detail Linked'!$O$5:$O$97,'Wage Detail Linked'!$B$5:$B$97,$A19,'Wage Detail Linked'!$C$5:$C$97,J$2,'Wage Detail Linked'!$E$5:$E$97,"")</f>
      </c>
      <c r="K19" s="4">
        <f>IF(SUMIFS('Wage Detail Linked'!$O$5:$O$97,'Wage Detail Linked'!$B$5:$B$97,$A19,'Wage Detail Linked'!$C$5:$C$97,J$2,'Wage Detail Linked'!$E$5:$E$97,"")=0,IF(J19&gt;0,ROUND(J19*90,2),0),ROUND(SUMIFS('Wage Detail Linked'!$R$5:$R$97,'Wage Detail Linked'!$B$5:$B$97,$A19,'Wage Detail Linked'!$C$5:$C$97,J$2,'Wage Detail Linked'!$E$5:$E$97,"")*J19/SUMIFS('Wage Detail Linked'!$O$5:$O$97,'Wage Detail Linked'!$B$5:$B$97,$A19,'Wage Detail Linked'!$C$5:$C$97,J$2,'Wage Detail Linked'!$E$5:$E$97,""),2))</f>
      </c>
      <c r="L19" s="16">
        <f>SUMIFS('Wage Detail Linked'!$O$5:$O$97,'Wage Detail Linked'!$B$5:$B$97,$A19,'Wage Detail Linked'!$C$5:$C$97,L$2,'Wage Detail Linked'!$E$5:$E$97,"")</f>
      </c>
      <c r="M19" s="4">
        <f>IF(SUMIFS('Wage Detail Linked'!$O$5:$O$97,'Wage Detail Linked'!$B$5:$B$97,$A19,'Wage Detail Linked'!$C$5:$C$97,L$2,'Wage Detail Linked'!$E$5:$E$97,"")=0,IF(L19&gt;0,ROUND(L19*90,2),0),ROUND(SUMIFS('Wage Detail Linked'!$R$5:$R$97,'Wage Detail Linked'!$B$5:$B$97,$A19,'Wage Detail Linked'!$C$5:$C$97,L$2,'Wage Detail Linked'!$E$5:$E$97,"")*L19/SUMIFS('Wage Detail Linked'!$O$5:$O$97,'Wage Detail Linked'!$B$5:$B$97,$A19,'Wage Detail Linked'!$C$5:$C$97,L$2,'Wage Detail Linked'!$E$5:$E$97,""),2))</f>
      </c>
      <c r="N19" s="16">
        <f>SUMIFS('Wage Detail Linked'!$O$5:$O$97,'Wage Detail Linked'!$B$5:$B$97,$A19,'Wage Detail Linked'!$C$5:$C$97,N$2,'Wage Detail Linked'!$E$5:$E$97,"")</f>
      </c>
      <c r="O19" s="4">
        <f>IF(SUMIFS('Wage Detail Linked'!$O$5:$O$97,'Wage Detail Linked'!$B$5:$B$97,$A19,'Wage Detail Linked'!$C$5:$C$97,N$2,'Wage Detail Linked'!$E$5:$E$97,"")=0,IF(N19&gt;0,ROUND(N19*90,2),0),ROUND(SUMIFS('Wage Detail Linked'!$R$5:$R$97,'Wage Detail Linked'!$B$5:$B$97,$A19,'Wage Detail Linked'!$C$5:$C$97,N$2,'Wage Detail Linked'!$E$5:$E$97,"")*N19/SUMIFS('Wage Detail Linked'!$O$5:$O$97,'Wage Detail Linked'!$B$5:$B$97,$A19,'Wage Detail Linked'!$C$5:$C$97,N$2,'Wage Detail Linked'!$E$5:$E$97,""),2))</f>
      </c>
      <c r="P19" s="16">
        <f>0</f>
      </c>
      <c r="Q19" s="13">
        <f>IF(P19&gt;0,ROUND(P19*90,2),0)</f>
      </c>
      <c r="R19" s="10">
        <f>SUM(B19,D19,F19,H19,J19,L19,N19,P19)</f>
      </c>
      <c r="S19" s="5">
        <f>SUM(C19,E19,G19,I19,K19,M19,O19,Q19)</f>
      </c>
      <c r="T19" s="4">
        <v>0</v>
      </c>
      <c r="U19" s="7">
        <v>0</v>
      </c>
      <c r="V19" s="4">
        <f>MAX(0,T19-U19)</f>
      </c>
      <c r="W19" s="4">
        <v>0</v>
      </c>
      <c r="X19" s="7">
        <v>0</v>
      </c>
      <c r="Y19" s="4">
        <f>MAX(0,0-X19)</f>
      </c>
      <c r="Z19" s="4">
        <f>U19+X19</f>
      </c>
      <c r="AA19" s="13">
        <f>MAX(0,S19-Z19)</f>
      </c>
    </row>
    <row r="20">
      <c r="A20" s="1" t="inlineStr">
        <is>
          <t xml:space="preserve">GRAND TOTAL</t>
        </is>
      </c>
      <c r="B20" s="10">
        <f>SUM(B4:B19)</f>
      </c>
      <c r="C20" s="5">
        <f>SUM(C4:C19)</f>
      </c>
      <c r="D20" s="10">
        <f>SUM(D4:D19)</f>
      </c>
      <c r="E20" s="5">
        <f>SUM(E4:E19)</f>
      </c>
      <c r="F20" s="10">
        <f>SUM(F4:F19)</f>
      </c>
      <c r="G20" s="5">
        <f>SUM(G4:G19)</f>
      </c>
      <c r="H20" s="10">
        <f>SUM(H4:H19)</f>
      </c>
      <c r="I20" s="5">
        <f>SUM(I4:I19)</f>
      </c>
      <c r="J20" s="10">
        <f>SUM(J4:J19)</f>
      </c>
      <c r="K20" s="5">
        <f>SUM(K4:K19)</f>
      </c>
      <c r="L20" s="10">
        <f>SUM(L4:L19)</f>
      </c>
      <c r="M20" s="5">
        <f>SUM(M4:M19)</f>
      </c>
      <c r="N20" s="10">
        <f>SUM(N4:N19)</f>
      </c>
      <c r="O20" s="5">
        <f>SUM(O4:O19)</f>
      </c>
      <c r="P20" s="10">
        <f>SUM(P4:P19)</f>
      </c>
      <c r="Q20" s="5">
        <f>SUM(Q4:Q19)</f>
      </c>
      <c r="R20" s="10">
        <f>SUM(R4:R19)</f>
      </c>
      <c r="S20" s="5">
        <f>SUM(S4:S19)</f>
      </c>
      <c r="T20" s="5">
        <f>SUM(T4:T19)</f>
      </c>
      <c r="U20" s="5">
        <f>SUM(U4:U19)</f>
      </c>
      <c r="V20" s="5">
        <f>SUM(V4:V19)</f>
      </c>
      <c r="W20" s="5">
        <f>SUM(W4:W19)</f>
      </c>
      <c r="X20" s="5">
        <f>SUM(X4:X19)</f>
      </c>
      <c r="Y20" s="5">
        <f>SUM(Y4:Y19)</f>
      </c>
      <c r="Z20" s="5">
        <f>SUM(Z4:Z19)</f>
      </c>
      <c r="AA20" s="5">
        <f>SUM(AA4:AA19)</f>
      </c>
    </row>
  </sheetData>
  <mergeCells count="27">
    <mergeCell ref="A1:A3"/>
    <mergeCell ref="B1:C1"/>
    <mergeCell ref="B2:C2"/>
    <mergeCell ref="D1:E1"/>
    <mergeCell ref="D2:E2"/>
    <mergeCell ref="F1:G1"/>
    <mergeCell ref="F2:G2"/>
    <mergeCell ref="H1:I1"/>
    <mergeCell ref="H2:I2"/>
    <mergeCell ref="J1:K1"/>
    <mergeCell ref="J2:K2"/>
    <mergeCell ref="L1:M1"/>
    <mergeCell ref="L2:M2"/>
    <mergeCell ref="N1:O1"/>
    <mergeCell ref="N2:O2"/>
    <mergeCell ref="P1:Q1"/>
    <mergeCell ref="P2:Q2"/>
    <mergeCell ref="R1:R3"/>
    <mergeCell ref="S1:S3"/>
    <mergeCell ref="T1:T3"/>
    <mergeCell ref="U1:U3"/>
    <mergeCell ref="V1:V3"/>
    <mergeCell ref="W1:W3"/>
    <mergeCell ref="X1:X3"/>
    <mergeCell ref="Y1:Y3"/>
    <mergeCell ref="Z1:Z3"/>
    <mergeCell ref="AA1:AA3"/>
  </mergeCells>
</worksheet>
</file>

<file path=xl/worksheets/sheet3.xml><?xml version="1.0" encoding="utf-8"?>
<worksheet xmlns="http://schemas.openxmlformats.org/spreadsheetml/2006/main" xmlns:r="http://schemas.openxmlformats.org/officeDocument/2006/relationships">
  <sheetViews>
    <sheetView workbookViewId="0">
      <pane ySplit="4" topLeftCell="A5" activePane="bottomLeft" state="frozen"/>
    </sheetView>
  </sheetViews>
  <cols>
    <col min="1" max="1" width="26" customWidth="1"/>
    <col min="2" max="2" width="10" customWidth="1"/>
    <col min="3" max="3" width="12" customWidth="1"/>
    <col min="4" max="4" width="12" customWidth="1"/>
    <col min="5" max="5" width="13" customWidth="1"/>
    <col min="6" max="6" width="13" customWidth="1"/>
    <col min="7" max="7" width="12" customWidth="1"/>
    <col min="8" max="8" width="12" customWidth="1"/>
    <col min="9" max="9" width="13" customWidth="1"/>
    <col min="10" max="10" width="13" customWidth="1"/>
    <col min="11" max="11" width="13" customWidth="1"/>
    <col min="12" max="12" width="13" customWidth="1"/>
    <col min="13" max="13" width="14" customWidth="1"/>
  </cols>
  <sheetData>
    <row r="1" ht="22" customHeight="1">
      <c r="A1" s="3" t="inlineStr">
        <is>
          <t xml:space="preserve">B&amp;W PRODUCTIONS — AUDITOR SUMMARY</t>
        </is>
      </c>
    </row>
    <row r="2" ht="30" customHeight="1">
      <c r="A2" s="11" t="inlineStr">
        <is>
          <t xml:space="preserve">Payroll week 2026-09-19 to 2026-09-25. Linked to Auditor Trail Linked; hours and wages include block 6 (Missed Shifts). No bonus columns.</t>
        </is>
      </c>
    </row>
    <row r="4" ht="30" customHeight="1">
      <c r="A4" s="2" t="inlineStr">
        <is>
          <t xml:space="preserve">Name</t>
        </is>
      </c>
      <c r="B4" s="2" t="inlineStr">
        <is>
          <t xml:space="preserve">Days Worked</t>
        </is>
      </c>
      <c r="C4" s="2" t="inlineStr">
        <is>
          <t xml:space="preserve">Hours (incl. missed)</t>
        </is>
      </c>
      <c r="D4" s="2" t="inlineStr">
        <is>
          <t xml:space="preserve">Missed Shift Hours</t>
        </is>
      </c>
      <c r="E4" s="2" t="inlineStr">
        <is>
          <t xml:space="preserve">Wages</t>
        </is>
      </c>
      <c r="F4" s="2" t="inlineStr">
        <is>
          <t xml:space="preserve">Fixed Deductions Due</t>
        </is>
      </c>
      <c r="G4" s="2" t="inlineStr">
        <is>
          <t xml:space="preserve">Fixed Deducted</t>
        </is>
      </c>
      <c r="H4" s="2" t="inlineStr">
        <is>
          <t xml:space="preserve">Fixed Outstanding</t>
        </is>
      </c>
      <c r="I4" s="2" t="inlineStr">
        <is>
          <t xml:space="preserve">Additional Loan Due</t>
        </is>
      </c>
      <c r="J4" s="2" t="inlineStr">
        <is>
          <t xml:space="preserve">Additional Loan Deducted</t>
        </is>
      </c>
      <c r="K4" s="2" t="inlineStr">
        <is>
          <t xml:space="preserve">Additional Loan Outstanding</t>
        </is>
      </c>
      <c r="L4" s="2" t="inlineStr">
        <is>
          <t xml:space="preserve">Total Deducted</t>
        </is>
      </c>
      <c r="M4" s="2" t="inlineStr">
        <is>
          <t xml:space="preserve">NET WAGE</t>
        </is>
      </c>
    </row>
    <row r="5">
      <c r="A5" s="0" t="inlineStr">
        <is>
          <t xml:space="preserve">Bhekizitha Maphosa</t>
        </is>
      </c>
      <c r="B5" s="9">
        <f>--('Auditor Trail Linked'!B4&gt;0)+--('Auditor Trail Linked'!D4&gt;0)+--('Auditor Trail Linked'!F4&gt;0)+--('Auditor Trail Linked'!H4&gt;0)+--('Auditor Trail Linked'!J4&gt;0)+--('Auditor Trail Linked'!L4&gt;0)+--('Auditor Trail Linked'!N4&gt;0)</f>
      </c>
      <c r="C5" s="9">
        <f>'Auditor Trail Linked'!R4</f>
      </c>
      <c r="D5" s="9">
        <f>'Auditor Trail Linked'!P4</f>
      </c>
      <c r="E5" s="4">
        <f>'Auditor Trail Linked'!S4</f>
      </c>
      <c r="F5" s="4">
        <f>'Auditor Trail Linked'!T4</f>
      </c>
      <c r="G5" s="4">
        <f>'Auditor Trail Linked'!U4</f>
      </c>
      <c r="H5" s="4">
        <f>'Auditor Trail Linked'!V4</f>
      </c>
      <c r="I5" s="4">
        <f>'Auditor Trail Linked'!W4</f>
      </c>
      <c r="J5" s="4">
        <f>'Auditor Trail Linked'!X4</f>
      </c>
      <c r="K5" s="4">
        <f>'Auditor Trail Linked'!Y4</f>
      </c>
      <c r="L5" s="4">
        <f>'Auditor Trail Linked'!Z4</f>
      </c>
      <c r="M5" s="13">
        <f>'Auditor Trail Linked'!AA4</f>
      </c>
    </row>
    <row r="6">
      <c r="A6" s="0" t="inlineStr">
        <is>
          <t xml:space="preserve">Daniel Motaung</t>
        </is>
      </c>
      <c r="B6" s="9">
        <f>--('Auditor Trail Linked'!B5&gt;0)+--('Auditor Trail Linked'!D5&gt;0)+--('Auditor Trail Linked'!F5&gt;0)+--('Auditor Trail Linked'!H5&gt;0)+--('Auditor Trail Linked'!J5&gt;0)+--('Auditor Trail Linked'!L5&gt;0)+--('Auditor Trail Linked'!N5&gt;0)</f>
      </c>
      <c r="C6" s="9">
        <f>'Auditor Trail Linked'!R5</f>
      </c>
      <c r="D6" s="9">
        <f>'Auditor Trail Linked'!P5</f>
      </c>
      <c r="E6" s="4">
        <f>'Auditor Trail Linked'!S5</f>
      </c>
      <c r="F6" s="4">
        <f>'Auditor Trail Linked'!T5</f>
      </c>
      <c r="G6" s="4">
        <f>'Auditor Trail Linked'!U5</f>
      </c>
      <c r="H6" s="4">
        <f>'Auditor Trail Linked'!V5</f>
      </c>
      <c r="I6" s="4">
        <f>'Auditor Trail Linked'!W5</f>
      </c>
      <c r="J6" s="4">
        <f>'Auditor Trail Linked'!X5</f>
      </c>
      <c r="K6" s="4">
        <f>'Auditor Trail Linked'!Y5</f>
      </c>
      <c r="L6" s="4">
        <f>'Auditor Trail Linked'!Z5</f>
      </c>
      <c r="M6" s="13">
        <f>'Auditor Trail Linked'!AA5</f>
      </c>
    </row>
    <row r="7">
      <c r="A7" s="0" t="inlineStr">
        <is>
          <t xml:space="preserve">Erence Mngomezulu</t>
        </is>
      </c>
      <c r="B7" s="9">
        <f>--('Auditor Trail Linked'!B6&gt;0)+--('Auditor Trail Linked'!D6&gt;0)+--('Auditor Trail Linked'!F6&gt;0)+--('Auditor Trail Linked'!H6&gt;0)+--('Auditor Trail Linked'!J6&gt;0)+--('Auditor Trail Linked'!L6&gt;0)+--('Auditor Trail Linked'!N6&gt;0)</f>
      </c>
      <c r="C7" s="9">
        <f>'Auditor Trail Linked'!R6</f>
      </c>
      <c r="D7" s="9">
        <f>'Auditor Trail Linked'!P6</f>
      </c>
      <c r="E7" s="4">
        <f>'Auditor Trail Linked'!S6</f>
      </c>
      <c r="F7" s="4">
        <f>'Auditor Trail Linked'!T6</f>
      </c>
      <c r="G7" s="4">
        <f>'Auditor Trail Linked'!U6</f>
      </c>
      <c r="H7" s="4">
        <f>'Auditor Trail Linked'!V6</f>
      </c>
      <c r="I7" s="4">
        <f>'Auditor Trail Linked'!W6</f>
      </c>
      <c r="J7" s="4">
        <f>'Auditor Trail Linked'!X6</f>
      </c>
      <c r="K7" s="4">
        <f>'Auditor Trail Linked'!Y6</f>
      </c>
      <c r="L7" s="4">
        <f>'Auditor Trail Linked'!Z6</f>
      </c>
      <c r="M7" s="13">
        <f>'Auditor Trail Linked'!AA6</f>
      </c>
    </row>
    <row r="8">
      <c r="A8" s="0" t="inlineStr">
        <is>
          <t xml:space="preserve">Erick Mpho Molefe</t>
        </is>
      </c>
      <c r="B8" s="9">
        <f>--('Auditor Trail Linked'!B7&gt;0)+--('Auditor Trail Linked'!D7&gt;0)+--('Auditor Trail Linked'!F7&gt;0)+--('Auditor Trail Linked'!H7&gt;0)+--('Auditor Trail Linked'!J7&gt;0)+--('Auditor Trail Linked'!L7&gt;0)+--('Auditor Trail Linked'!N7&gt;0)</f>
      </c>
      <c r="C8" s="9">
        <f>'Auditor Trail Linked'!R7</f>
      </c>
      <c r="D8" s="9">
        <f>'Auditor Trail Linked'!P7</f>
      </c>
      <c r="E8" s="4">
        <f>'Auditor Trail Linked'!S7</f>
      </c>
      <c r="F8" s="4">
        <f>'Auditor Trail Linked'!T7</f>
      </c>
      <c r="G8" s="4">
        <f>'Auditor Trail Linked'!U7</f>
      </c>
      <c r="H8" s="4">
        <f>'Auditor Trail Linked'!V7</f>
      </c>
      <c r="I8" s="4">
        <f>'Auditor Trail Linked'!W7</f>
      </c>
      <c r="J8" s="4">
        <f>'Auditor Trail Linked'!X7</f>
      </c>
      <c r="K8" s="4">
        <f>'Auditor Trail Linked'!Y7</f>
      </c>
      <c r="L8" s="4">
        <f>'Auditor Trail Linked'!Z7</f>
      </c>
      <c r="M8" s="13">
        <f>'Auditor Trail Linked'!AA7</f>
      </c>
    </row>
    <row r="9">
      <c r="A9" s="0" t="inlineStr">
        <is>
          <t xml:space="preserve">Givemore Chifetete Kuziwa</t>
        </is>
      </c>
      <c r="B9" s="9">
        <f>--('Auditor Trail Linked'!B8&gt;0)+--('Auditor Trail Linked'!D8&gt;0)+--('Auditor Trail Linked'!F8&gt;0)+--('Auditor Trail Linked'!H8&gt;0)+--('Auditor Trail Linked'!J8&gt;0)+--('Auditor Trail Linked'!L8&gt;0)+--('Auditor Trail Linked'!N8&gt;0)</f>
      </c>
      <c r="C9" s="9">
        <f>'Auditor Trail Linked'!R8</f>
      </c>
      <c r="D9" s="9">
        <f>'Auditor Trail Linked'!P8</f>
      </c>
      <c r="E9" s="4">
        <f>'Auditor Trail Linked'!S8</f>
      </c>
      <c r="F9" s="4">
        <f>'Auditor Trail Linked'!T8</f>
      </c>
      <c r="G9" s="4">
        <f>'Auditor Trail Linked'!U8</f>
      </c>
      <c r="H9" s="4">
        <f>'Auditor Trail Linked'!V8</f>
      </c>
      <c r="I9" s="4">
        <f>'Auditor Trail Linked'!W8</f>
      </c>
      <c r="J9" s="4">
        <f>'Auditor Trail Linked'!X8</f>
      </c>
      <c r="K9" s="4">
        <f>'Auditor Trail Linked'!Y8</f>
      </c>
      <c r="L9" s="4">
        <f>'Auditor Trail Linked'!Z8</f>
      </c>
      <c r="M9" s="13">
        <f>'Auditor Trail Linked'!AA8</f>
      </c>
    </row>
    <row r="10">
      <c r="A10" s="0" t="inlineStr">
        <is>
          <t xml:space="preserve">Isaac Mbele</t>
        </is>
      </c>
      <c r="B10" s="9">
        <f>--('Auditor Trail Linked'!B9&gt;0)+--('Auditor Trail Linked'!D9&gt;0)+--('Auditor Trail Linked'!F9&gt;0)+--('Auditor Trail Linked'!H9&gt;0)+--('Auditor Trail Linked'!J9&gt;0)+--('Auditor Trail Linked'!L9&gt;0)+--('Auditor Trail Linked'!N9&gt;0)</f>
      </c>
      <c r="C10" s="9">
        <f>'Auditor Trail Linked'!R9</f>
      </c>
      <c r="D10" s="9">
        <f>'Auditor Trail Linked'!P9</f>
      </c>
      <c r="E10" s="4">
        <f>'Auditor Trail Linked'!S9</f>
      </c>
      <c r="F10" s="4">
        <f>'Auditor Trail Linked'!T9</f>
      </c>
      <c r="G10" s="4">
        <f>'Auditor Trail Linked'!U9</f>
      </c>
      <c r="H10" s="4">
        <f>'Auditor Trail Linked'!V9</f>
      </c>
      <c r="I10" s="4">
        <f>'Auditor Trail Linked'!W9</f>
      </c>
      <c r="J10" s="4">
        <f>'Auditor Trail Linked'!X9</f>
      </c>
      <c r="K10" s="4">
        <f>'Auditor Trail Linked'!Y9</f>
      </c>
      <c r="L10" s="4">
        <f>'Auditor Trail Linked'!Z9</f>
      </c>
      <c r="M10" s="13">
        <f>'Auditor Trail Linked'!AA9</f>
      </c>
    </row>
    <row r="11">
      <c r="A11" s="0" t="inlineStr">
        <is>
          <t xml:space="preserve">John Simbarashe Mhlanga</t>
        </is>
      </c>
      <c r="B11" s="9">
        <f>--('Auditor Trail Linked'!B10&gt;0)+--('Auditor Trail Linked'!D10&gt;0)+--('Auditor Trail Linked'!F10&gt;0)+--('Auditor Trail Linked'!H10&gt;0)+--('Auditor Trail Linked'!J10&gt;0)+--('Auditor Trail Linked'!L10&gt;0)+--('Auditor Trail Linked'!N10&gt;0)</f>
      </c>
      <c r="C11" s="9">
        <f>'Auditor Trail Linked'!R10</f>
      </c>
      <c r="D11" s="9">
        <f>'Auditor Trail Linked'!P10</f>
      </c>
      <c r="E11" s="4">
        <f>'Auditor Trail Linked'!S10</f>
      </c>
      <c r="F11" s="4">
        <f>'Auditor Trail Linked'!T10</f>
      </c>
      <c r="G11" s="4">
        <f>'Auditor Trail Linked'!U10</f>
      </c>
      <c r="H11" s="4">
        <f>'Auditor Trail Linked'!V10</f>
      </c>
      <c r="I11" s="4">
        <f>'Auditor Trail Linked'!W10</f>
      </c>
      <c r="J11" s="4">
        <f>'Auditor Trail Linked'!X10</f>
      </c>
      <c r="K11" s="4">
        <f>'Auditor Trail Linked'!Y10</f>
      </c>
      <c r="L11" s="4">
        <f>'Auditor Trail Linked'!Z10</f>
      </c>
      <c r="M11" s="13">
        <f>'Auditor Trail Linked'!AA10</f>
      </c>
    </row>
    <row r="12">
      <c r="A12" s="0" t="inlineStr">
        <is>
          <t xml:space="preserve">Joshua Motsamai Nteo</t>
        </is>
      </c>
      <c r="B12" s="9">
        <f>--('Auditor Trail Linked'!B11&gt;0)+--('Auditor Trail Linked'!D11&gt;0)+--('Auditor Trail Linked'!F11&gt;0)+--('Auditor Trail Linked'!H11&gt;0)+--('Auditor Trail Linked'!J11&gt;0)+--('Auditor Trail Linked'!L11&gt;0)+--('Auditor Trail Linked'!N11&gt;0)</f>
      </c>
      <c r="C12" s="9">
        <f>'Auditor Trail Linked'!R11</f>
      </c>
      <c r="D12" s="9">
        <f>'Auditor Trail Linked'!P11</f>
      </c>
      <c r="E12" s="4">
        <f>'Auditor Trail Linked'!S11</f>
      </c>
      <c r="F12" s="4">
        <f>'Auditor Trail Linked'!T11</f>
      </c>
      <c r="G12" s="4">
        <f>'Auditor Trail Linked'!U11</f>
      </c>
      <c r="H12" s="4">
        <f>'Auditor Trail Linked'!V11</f>
      </c>
      <c r="I12" s="4">
        <f>'Auditor Trail Linked'!W11</f>
      </c>
      <c r="J12" s="4">
        <f>'Auditor Trail Linked'!X11</f>
      </c>
      <c r="K12" s="4">
        <f>'Auditor Trail Linked'!Y11</f>
      </c>
      <c r="L12" s="4">
        <f>'Auditor Trail Linked'!Z11</f>
      </c>
      <c r="M12" s="13">
        <f>'Auditor Trail Linked'!AA11</f>
      </c>
    </row>
    <row r="13">
      <c r="A13" s="0" t="inlineStr">
        <is>
          <t xml:space="preserve">Lebo Lebo</t>
        </is>
      </c>
      <c r="B13" s="9">
        <f>--('Auditor Trail Linked'!B12&gt;0)+--('Auditor Trail Linked'!D12&gt;0)+--('Auditor Trail Linked'!F12&gt;0)+--('Auditor Trail Linked'!H12&gt;0)+--('Auditor Trail Linked'!J12&gt;0)+--('Auditor Trail Linked'!L12&gt;0)+--('Auditor Trail Linked'!N12&gt;0)</f>
      </c>
      <c r="C13" s="9">
        <f>'Auditor Trail Linked'!R12</f>
      </c>
      <c r="D13" s="9">
        <f>'Auditor Trail Linked'!P12</f>
      </c>
      <c r="E13" s="4">
        <f>'Auditor Trail Linked'!S12</f>
      </c>
      <c r="F13" s="4">
        <f>'Auditor Trail Linked'!T12</f>
      </c>
      <c r="G13" s="4">
        <f>'Auditor Trail Linked'!U12</f>
      </c>
      <c r="H13" s="4">
        <f>'Auditor Trail Linked'!V12</f>
      </c>
      <c r="I13" s="4">
        <f>'Auditor Trail Linked'!W12</f>
      </c>
      <c r="J13" s="4">
        <f>'Auditor Trail Linked'!X12</f>
      </c>
      <c r="K13" s="4">
        <f>'Auditor Trail Linked'!Y12</f>
      </c>
      <c r="L13" s="4">
        <f>'Auditor Trail Linked'!Z12</f>
      </c>
      <c r="M13" s="13">
        <f>'Auditor Trail Linked'!AA12</f>
      </c>
    </row>
    <row r="14">
      <c r="A14" s="0" t="inlineStr">
        <is>
          <t xml:space="preserve">Patrick Ngozo</t>
        </is>
      </c>
      <c r="B14" s="9">
        <f>--('Auditor Trail Linked'!B13&gt;0)+--('Auditor Trail Linked'!D13&gt;0)+--('Auditor Trail Linked'!F13&gt;0)+--('Auditor Trail Linked'!H13&gt;0)+--('Auditor Trail Linked'!J13&gt;0)+--('Auditor Trail Linked'!L13&gt;0)+--('Auditor Trail Linked'!N13&gt;0)</f>
      </c>
      <c r="C14" s="9">
        <f>'Auditor Trail Linked'!R13</f>
      </c>
      <c r="D14" s="9">
        <f>'Auditor Trail Linked'!P13</f>
      </c>
      <c r="E14" s="4">
        <f>'Auditor Trail Linked'!S13</f>
      </c>
      <c r="F14" s="4">
        <f>'Auditor Trail Linked'!T13</f>
      </c>
      <c r="G14" s="4">
        <f>'Auditor Trail Linked'!U13</f>
      </c>
      <c r="H14" s="4">
        <f>'Auditor Trail Linked'!V13</f>
      </c>
      <c r="I14" s="4">
        <f>'Auditor Trail Linked'!W13</f>
      </c>
      <c r="J14" s="4">
        <f>'Auditor Trail Linked'!X13</f>
      </c>
      <c r="K14" s="4">
        <f>'Auditor Trail Linked'!Y13</f>
      </c>
      <c r="L14" s="4">
        <f>'Auditor Trail Linked'!Z13</f>
      </c>
      <c r="M14" s="13">
        <f>'Auditor Trail Linked'!AA13</f>
      </c>
    </row>
    <row r="15">
      <c r="A15" s="0" t="inlineStr">
        <is>
          <t xml:space="preserve">Sharleen Ndlovu</t>
        </is>
      </c>
      <c r="B15" s="9">
        <f>--('Auditor Trail Linked'!B14&gt;0)+--('Auditor Trail Linked'!D14&gt;0)+--('Auditor Trail Linked'!F14&gt;0)+--('Auditor Trail Linked'!H14&gt;0)+--('Auditor Trail Linked'!J14&gt;0)+--('Auditor Trail Linked'!L14&gt;0)+--('Auditor Trail Linked'!N14&gt;0)</f>
      </c>
      <c r="C15" s="9">
        <f>'Auditor Trail Linked'!R14</f>
      </c>
      <c r="D15" s="9">
        <f>'Auditor Trail Linked'!P14</f>
      </c>
      <c r="E15" s="4">
        <f>'Auditor Trail Linked'!S14</f>
      </c>
      <c r="F15" s="4">
        <f>'Auditor Trail Linked'!T14</f>
      </c>
      <c r="G15" s="4">
        <f>'Auditor Trail Linked'!U14</f>
      </c>
      <c r="H15" s="4">
        <f>'Auditor Trail Linked'!V14</f>
      </c>
      <c r="I15" s="4">
        <f>'Auditor Trail Linked'!W14</f>
      </c>
      <c r="J15" s="4">
        <f>'Auditor Trail Linked'!X14</f>
      </c>
      <c r="K15" s="4">
        <f>'Auditor Trail Linked'!Y14</f>
      </c>
      <c r="L15" s="4">
        <f>'Auditor Trail Linked'!Z14</f>
      </c>
      <c r="M15" s="13">
        <f>'Auditor Trail Linked'!AA14</f>
      </c>
    </row>
    <row r="16">
      <c r="A16" s="0" t="inlineStr">
        <is>
          <t xml:space="preserve">Solomon Moyo</t>
        </is>
      </c>
      <c r="B16" s="9">
        <f>--('Auditor Trail Linked'!B15&gt;0)+--('Auditor Trail Linked'!D15&gt;0)+--('Auditor Trail Linked'!F15&gt;0)+--('Auditor Trail Linked'!H15&gt;0)+--('Auditor Trail Linked'!J15&gt;0)+--('Auditor Trail Linked'!L15&gt;0)+--('Auditor Trail Linked'!N15&gt;0)</f>
      </c>
      <c r="C16" s="9">
        <f>'Auditor Trail Linked'!R15</f>
      </c>
      <c r="D16" s="9">
        <f>'Auditor Trail Linked'!P15</f>
      </c>
      <c r="E16" s="4">
        <f>'Auditor Trail Linked'!S15</f>
      </c>
      <c r="F16" s="4">
        <f>'Auditor Trail Linked'!T15</f>
      </c>
      <c r="G16" s="4">
        <f>'Auditor Trail Linked'!U15</f>
      </c>
      <c r="H16" s="4">
        <f>'Auditor Trail Linked'!V15</f>
      </c>
      <c r="I16" s="4">
        <f>'Auditor Trail Linked'!W15</f>
      </c>
      <c r="J16" s="4">
        <f>'Auditor Trail Linked'!X15</f>
      </c>
      <c r="K16" s="4">
        <f>'Auditor Trail Linked'!Y15</f>
      </c>
      <c r="L16" s="4">
        <f>'Auditor Trail Linked'!Z15</f>
      </c>
      <c r="M16" s="13">
        <f>'Auditor Trail Linked'!AA15</f>
      </c>
    </row>
    <row r="17">
      <c r="A17" s="0" t="inlineStr">
        <is>
          <t xml:space="preserve">Takavaudza Chokuda</t>
        </is>
      </c>
      <c r="B17" s="9">
        <f>--('Auditor Trail Linked'!B16&gt;0)+--('Auditor Trail Linked'!D16&gt;0)+--('Auditor Trail Linked'!F16&gt;0)+--('Auditor Trail Linked'!H16&gt;0)+--('Auditor Trail Linked'!J16&gt;0)+--('Auditor Trail Linked'!L16&gt;0)+--('Auditor Trail Linked'!N16&gt;0)</f>
      </c>
      <c r="C17" s="9">
        <f>'Auditor Trail Linked'!R16</f>
      </c>
      <c r="D17" s="9">
        <f>'Auditor Trail Linked'!P16</f>
      </c>
      <c r="E17" s="4">
        <f>'Auditor Trail Linked'!S16</f>
      </c>
      <c r="F17" s="4">
        <f>'Auditor Trail Linked'!T16</f>
      </c>
      <c r="G17" s="4">
        <f>'Auditor Trail Linked'!U16</f>
      </c>
      <c r="H17" s="4">
        <f>'Auditor Trail Linked'!V16</f>
      </c>
      <c r="I17" s="4">
        <f>'Auditor Trail Linked'!W16</f>
      </c>
      <c r="J17" s="4">
        <f>'Auditor Trail Linked'!X16</f>
      </c>
      <c r="K17" s="4">
        <f>'Auditor Trail Linked'!Y16</f>
      </c>
      <c r="L17" s="4">
        <f>'Auditor Trail Linked'!Z16</f>
      </c>
      <c r="M17" s="13">
        <f>'Auditor Trail Linked'!AA16</f>
      </c>
    </row>
    <row r="18">
      <c r="A18" s="0" t="inlineStr">
        <is>
          <t xml:space="preserve">Thandanani Nkala</t>
        </is>
      </c>
      <c r="B18" s="9">
        <f>--('Auditor Trail Linked'!B17&gt;0)+--('Auditor Trail Linked'!D17&gt;0)+--('Auditor Trail Linked'!F17&gt;0)+--('Auditor Trail Linked'!H17&gt;0)+--('Auditor Trail Linked'!J17&gt;0)+--('Auditor Trail Linked'!L17&gt;0)+--('Auditor Trail Linked'!N17&gt;0)</f>
      </c>
      <c r="C18" s="9">
        <f>'Auditor Trail Linked'!R17</f>
      </c>
      <c r="D18" s="9">
        <f>'Auditor Trail Linked'!P17</f>
      </c>
      <c r="E18" s="4">
        <f>'Auditor Trail Linked'!S17</f>
      </c>
      <c r="F18" s="4">
        <f>'Auditor Trail Linked'!T17</f>
      </c>
      <c r="G18" s="4">
        <f>'Auditor Trail Linked'!U17</f>
      </c>
      <c r="H18" s="4">
        <f>'Auditor Trail Linked'!V17</f>
      </c>
      <c r="I18" s="4">
        <f>'Auditor Trail Linked'!W17</f>
      </c>
      <c r="J18" s="4">
        <f>'Auditor Trail Linked'!X17</f>
      </c>
      <c r="K18" s="4">
        <f>'Auditor Trail Linked'!Y17</f>
      </c>
      <c r="L18" s="4">
        <f>'Auditor Trail Linked'!Z17</f>
      </c>
      <c r="M18" s="13">
        <f>'Auditor Trail Linked'!AA17</f>
      </c>
    </row>
    <row r="19">
      <c r="A19" s="0" t="inlineStr">
        <is>
          <t xml:space="preserve">Thina Dyani</t>
        </is>
      </c>
      <c r="B19" s="9">
        <f>--('Auditor Trail Linked'!B18&gt;0)+--('Auditor Trail Linked'!D18&gt;0)+--('Auditor Trail Linked'!F18&gt;0)+--('Auditor Trail Linked'!H18&gt;0)+--('Auditor Trail Linked'!J18&gt;0)+--('Auditor Trail Linked'!L18&gt;0)+--('Auditor Trail Linked'!N18&gt;0)</f>
      </c>
      <c r="C19" s="9">
        <f>'Auditor Trail Linked'!R18</f>
      </c>
      <c r="D19" s="9">
        <f>'Auditor Trail Linked'!P18</f>
      </c>
      <c r="E19" s="4">
        <f>'Auditor Trail Linked'!S18</f>
      </c>
      <c r="F19" s="4">
        <f>'Auditor Trail Linked'!T18</f>
      </c>
      <c r="G19" s="4">
        <f>'Auditor Trail Linked'!U18</f>
      </c>
      <c r="H19" s="4">
        <f>'Auditor Trail Linked'!V18</f>
      </c>
      <c r="I19" s="4">
        <f>'Auditor Trail Linked'!W18</f>
      </c>
      <c r="J19" s="4">
        <f>'Auditor Trail Linked'!X18</f>
      </c>
      <c r="K19" s="4">
        <f>'Auditor Trail Linked'!Y18</f>
      </c>
      <c r="L19" s="4">
        <f>'Auditor Trail Linked'!Z18</f>
      </c>
      <c r="M19" s="13">
        <f>'Auditor Trail Linked'!AA18</f>
      </c>
    </row>
    <row r="20">
      <c r="A20" s="0" t="inlineStr">
        <is>
          <t xml:space="preserve">Tsotlego Petrus Malakoane</t>
        </is>
      </c>
      <c r="B20" s="9">
        <f>--('Auditor Trail Linked'!B19&gt;0)+--('Auditor Trail Linked'!D19&gt;0)+--('Auditor Trail Linked'!F19&gt;0)+--('Auditor Trail Linked'!H19&gt;0)+--('Auditor Trail Linked'!J19&gt;0)+--('Auditor Trail Linked'!L19&gt;0)+--('Auditor Trail Linked'!N19&gt;0)</f>
      </c>
      <c r="C20" s="9">
        <f>'Auditor Trail Linked'!R19</f>
      </c>
      <c r="D20" s="9">
        <f>'Auditor Trail Linked'!P19</f>
      </c>
      <c r="E20" s="4">
        <f>'Auditor Trail Linked'!S19</f>
      </c>
      <c r="F20" s="4">
        <f>'Auditor Trail Linked'!T19</f>
      </c>
      <c r="G20" s="4">
        <f>'Auditor Trail Linked'!U19</f>
      </c>
      <c r="H20" s="4">
        <f>'Auditor Trail Linked'!V19</f>
      </c>
      <c r="I20" s="4">
        <f>'Auditor Trail Linked'!W19</f>
      </c>
      <c r="J20" s="4">
        <f>'Auditor Trail Linked'!X19</f>
      </c>
      <c r="K20" s="4">
        <f>'Auditor Trail Linked'!Y19</f>
      </c>
      <c r="L20" s="4">
        <f>'Auditor Trail Linked'!Z19</f>
      </c>
      <c r="M20" s="13">
        <f>'Auditor Trail Linked'!AA19</f>
      </c>
    </row>
    <row r="21">
      <c r="A21" s="1" t="inlineStr">
        <is>
          <t xml:space="preserve">GRAND TOTAL</t>
        </is>
      </c>
      <c r="B21" s="10">
        <f>SUM(B5:B20)</f>
      </c>
      <c r="C21" s="10">
        <f>SUM(C5:C20)</f>
      </c>
      <c r="D21" s="10">
        <f>SUM(D5:D20)</f>
      </c>
      <c r="E21" s="5">
        <f>SUM(E5:E20)</f>
      </c>
      <c r="F21" s="5">
        <f>SUM(F5:F20)</f>
      </c>
      <c r="G21" s="5">
        <f>SUM(G5:G20)</f>
      </c>
      <c r="H21" s="5">
        <f>SUM(H5:H20)</f>
      </c>
      <c r="I21" s="5">
        <f>SUM(I5:I20)</f>
      </c>
      <c r="J21" s="5">
        <f>SUM(J5:J20)</f>
      </c>
      <c r="K21" s="5">
        <f>SUM(K5:K20)</f>
      </c>
      <c r="L21" s="5">
        <f>SUM(L5:L20)</f>
      </c>
      <c r="M21" s="5">
        <f>SUM(M5:M20)</f>
      </c>
    </row>
  </sheetData>
  <mergeCells count="2">
    <mergeCell ref="A1:M1"/>
    <mergeCell ref="A2:M2"/>
  </mergeCells>
</worksheet>
</file>

<file path=xl/worksheets/sheet4.xml><?xml version="1.0" encoding="utf-8"?>
<worksheet xmlns="http://schemas.openxmlformats.org/spreadsheetml/2006/main" xmlns:r="http://schemas.openxmlformats.org/officeDocument/2006/relationships">
  <sheetViews>
    <sheetView workbookViewId="0">
      <pane ySplit="4" topLeftCell="A5" activePane="bottomLeft" state="frozen"/>
    </sheetView>
  </sheetViews>
  <cols>
    <col min="1" max="1" width="10" customWidth="1"/>
    <col min="2" max="2" width="8" customWidth="1"/>
    <col min="3" max="3" width="24" customWidth="1"/>
    <col min="4" max="4" width="11" customWidth="1"/>
    <col min="5" max="5" width="30" customWidth="1"/>
    <col min="6" max="6" width="26" customWidth="1"/>
    <col min="7" max="7" width="70" customWidth="1"/>
    <col min="8" max="8" width="11" customWidth="1"/>
    <col min="9" max="9" width="9" customWidth="1"/>
    <col min="10" max="10" width="9" customWidth="1"/>
    <col min="11" max="11" width="18" customWidth="1"/>
    <col min="12" max="12" width="16" customWidth="1"/>
    <col min="13" max="13" width="17" customWidth="1"/>
    <col min="14" max="14" width="70" customWidth="1"/>
  </cols>
  <sheetData>
    <row r="1" ht="22" customHeight="1">
      <c r="A1" s="3" t="inlineStr">
        <is>
          <t xml:space="preserve">B&amp;W PRODUCTIONS — FLAGGED / REVIEWED</t>
        </is>
      </c>
    </row>
    <row r="2" ht="30" customHeight="1">
      <c r="A2" s="11" t="inlineStr">
        <is>
          <t xml:space="preserve">Payroll week 2026-09-19 to 2026-09-25. Every review on a paid shift in this payroll: what the system flagged, and the office decision (name, time, reason). OPEN items first.</t>
        </is>
      </c>
    </row>
    <row r="4" ht="30" customHeight="1">
      <c r="A4" s="2" t="inlineStr">
        <is>
          <t xml:space="preserve">Status</t>
        </is>
      </c>
      <c r="B4" s="2" t="inlineStr">
        <is>
          <t xml:space="preserve">Review #</t>
        </is>
      </c>
      <c r="C4" s="2" t="inlineStr">
        <is>
          <t xml:space="preserve">Employee</t>
        </is>
      </c>
      <c r="D4" s="2" t="inlineStr">
        <is>
          <t xml:space="preserve">Date</t>
        </is>
      </c>
      <c r="E4" s="2" t="inlineStr">
        <is>
          <t xml:space="preserve">Shift</t>
        </is>
      </c>
      <c r="F4" s="2" t="inlineStr">
        <is>
          <t xml:space="preserve">Flag</t>
        </is>
      </c>
      <c r="G4" s="2" t="inlineStr">
        <is>
          <t xml:space="preserve">System note</t>
        </is>
      </c>
      <c r="H4" s="2" t="inlineStr">
        <is>
          <t xml:space="preserve">System recommended hours</t>
        </is>
      </c>
      <c r="I4" s="2" t="inlineStr">
        <is>
          <t xml:space="preserve">Claimed hours</t>
        </is>
      </c>
      <c r="J4" s="2" t="inlineStr">
        <is>
          <t xml:space="preserve">Approved hours</t>
        </is>
      </c>
      <c r="K4" s="2" t="inlineStr">
        <is>
          <t xml:space="preserve">Decision</t>
        </is>
      </c>
      <c r="L4" s="2" t="inlineStr">
        <is>
          <t xml:space="preserve">Decided by</t>
        </is>
      </c>
      <c r="M4" s="2" t="inlineStr">
        <is>
          <t xml:space="preserve">Decided at</t>
        </is>
      </c>
      <c r="N4" s="2" t="inlineStr">
        <is>
          <t xml:space="preserve">Reason recorded</t>
        </is>
      </c>
    </row>
    <row r="5">
      <c r="A5" s="17" t="inlineStr">
        <is>
          <t xml:space="preserve">RESOLVED</t>
        </is>
      </c>
      <c r="B5" s="17">
        <v>10027</v>
      </c>
      <c r="C5" s="17" t="inlineStr">
        <is>
          <t xml:space="preserve">Bhekizitha Maphosa</t>
        </is>
      </c>
      <c r="D5" s="17" t="inlineStr">
        <is>
          <t xml:space="preserve">2026-09-22</t>
        </is>
      </c>
      <c r="E5" s="17" t="inlineStr">
        <is>
          <t xml:space="preserve">07:00–16:00 Warehouse loading</t>
        </is>
      </c>
      <c r="F5" s="17" t="inlineStr">
        <is>
          <t xml:space="preserve">Rate choice: Warehouse or Event/Venue</t>
        </is>
      </c>
      <c r="G5"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5" s="17"/>
      <c r="I5" s="18">
        <v>9</v>
      </c>
      <c r="J5" s="17"/>
      <c r="K5" s="17" t="inlineStr">
        <is>
          <t xml:space="preserve">approve original</t>
        </is>
      </c>
      <c r="L5" s="17" t="inlineStr">
        <is>
          <t xml:space="preserve">Bernie Burness</t>
        </is>
      </c>
      <c r="M5" s="17" t="inlineStr">
        <is>
          <t xml:space="preserve">2026-09-23 06:38:31</t>
        </is>
      </c>
      <c r="N5" s="17" t="inlineStr">
        <is>
          <t xml:space="preserve">Warehouse rate chosen — shift #9808 R750,00 → R690,63 (Warehouse: 9 h − 0.5 h staff meeting 07:00–07:30 (unpaid, R40,63) = 8.5 h × R81,25)</t>
        </is>
      </c>
    </row>
    <row r="6">
      <c r="A6" s="17" t="inlineStr">
        <is>
          <t xml:space="preserve">RESOLVED</t>
        </is>
      </c>
      <c r="B6" s="17">
        <v>10025</v>
      </c>
      <c r="C6" s="17" t="inlineStr">
        <is>
          <t xml:space="preserve">Bhekizitha Maphosa</t>
        </is>
      </c>
      <c r="D6" s="17" t="inlineStr">
        <is>
          <t xml:space="preserve">2026-09-23</t>
        </is>
      </c>
      <c r="E6" s="17" t="inlineStr">
        <is>
          <t xml:space="preserve">07:00–16:00 Warehouse</t>
        </is>
      </c>
      <c r="F6" s="17" t="inlineStr">
        <is>
          <t xml:space="preserve">Rate choice: Warehouse or Event/Venue</t>
        </is>
      </c>
      <c r="G6"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6" s="17"/>
      <c r="I6" s="18">
        <v>9</v>
      </c>
      <c r="J6" s="17"/>
      <c r="K6" s="17" t="inlineStr">
        <is>
          <t xml:space="preserve">approve original</t>
        </is>
      </c>
      <c r="L6" s="17" t="inlineStr">
        <is>
          <t xml:space="preserve">Bernie Burness</t>
        </is>
      </c>
      <c r="M6" s="17" t="inlineStr">
        <is>
          <t xml:space="preserve">2026-09-23 06:38:36</t>
        </is>
      </c>
      <c r="N6" s="17" t="inlineStr">
        <is>
          <t xml:space="preserve">Warehouse rate chosen — shift #9807 R750,00 → R690,63 (Warehouse: 9 h − 0.5 h staff meeting 07:00–07:30 (unpaid, R40,63) = 8.5 h × R81,25)</t>
        </is>
      </c>
    </row>
    <row r="7">
      <c r="A7" s="17" t="inlineStr">
        <is>
          <t xml:space="preserve">RESOLVED</t>
        </is>
      </c>
      <c r="B7" s="17">
        <v>10023</v>
      </c>
      <c r="C7" s="17" t="inlineStr">
        <is>
          <t xml:space="preserve">Bhekizitha Maphosa</t>
        </is>
      </c>
      <c r="D7" s="17" t="inlineStr">
        <is>
          <t xml:space="preserve">2026-09-24</t>
        </is>
      </c>
      <c r="E7" s="17" t="inlineStr">
        <is>
          <t xml:space="preserve">07:00–15:00 Warehouse</t>
        </is>
      </c>
      <c r="F7" s="17" t="inlineStr">
        <is>
          <t xml:space="preserve">Rate choice: Warehouse or Event/Venue</t>
        </is>
      </c>
      <c r="G7"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7" s="17"/>
      <c r="I7" s="18">
        <v>8</v>
      </c>
      <c r="J7" s="17"/>
      <c r="K7" s="17" t="inlineStr">
        <is>
          <t xml:space="preserve">approve original</t>
        </is>
      </c>
      <c r="L7" s="17" t="inlineStr">
        <is>
          <t xml:space="preserve">Bernie Burness</t>
        </is>
      </c>
      <c r="M7" s="17" t="inlineStr">
        <is>
          <t xml:space="preserve">2026-09-23 06:38:41</t>
        </is>
      </c>
      <c r="N7" s="17" t="inlineStr">
        <is>
          <t xml:space="preserve">Warehouse rate chosen — shift #9806 R1 620,00 → R0,00 (PUBLIC HOLIDAY — HELD for owner approval — recommended Warehouse public holiday (Heritage Day): 9 h × R162,50 (R81,25 × 2, no meeting deduction) = R1 462,50; R0 until approved)</t>
        </is>
      </c>
    </row>
    <row r="8">
      <c r="A8" s="17" t="inlineStr">
        <is>
          <t xml:space="preserve">RESOLVED</t>
        </is>
      </c>
      <c r="B8" s="17">
        <v>10137</v>
      </c>
      <c r="C8" s="17" t="inlineStr">
        <is>
          <t xml:space="preserve">Bhekizitha Maphosa</t>
        </is>
      </c>
      <c r="D8" s="17" t="inlineStr">
        <is>
          <t xml:space="preserve">2026-09-24</t>
        </is>
      </c>
      <c r="E8" s="17" t="inlineStr">
        <is>
          <t xml:space="preserve">07:00–15:00 Warehouse</t>
        </is>
      </c>
      <c r="F8" s="17" t="inlineStr">
        <is>
          <t xml:space="preserve">Public holiday (Heritage Day) — owner to approve or decline</t>
        </is>
      </c>
      <c r="G8" s="17" t="inlineStr">
        <is>
          <t xml:space="preserve">PUBLIC HOLIDAY — Heritage Day (24 Sep 2026): Bhekizitha Maphosa worked 07:00–16:00. Held for owner approval.</t>
        </is>
      </c>
      <c r="H8" s="17"/>
      <c r="I8" s="18">
        <v>8</v>
      </c>
      <c r="J8" s="18">
        <v>7.5</v>
      </c>
      <c r="K8" s="17" t="inlineStr">
        <is>
          <t xml:space="preserve">approve adjusted</t>
        </is>
      </c>
      <c r="L8" s="17" t="inlineStr">
        <is>
          <t xml:space="preserve">Bernie Burness</t>
        </is>
      </c>
      <c r="M8" s="17" t="inlineStr">
        <is>
          <t xml:space="preserve">2026-09-23 10:28:47</t>
        </is>
      </c>
      <c r="N8" s="17" t="inlineStr">
        <is>
          <t xml:space="preserve">Public holiday (Heritage Day) approved by Bernie Burness 23 Sep — hours set to 07:00–15:00 (no set-ups): Warehouse public holiday (Heritage Day), owner set hours 07:00–15:00: 8.0 h − 0.5 h staff meeting 07:00–07:30 (unpaid) = 7.5 h × R162,50 (R81,25 × 2) = R1218.75</t>
        </is>
      </c>
    </row>
    <row r="9">
      <c r="A9" s="20" t="inlineStr">
        <is>
          <t xml:space="preserve">RESOLVED</t>
        </is>
      </c>
      <c r="B9" s="20">
        <v>9990</v>
      </c>
      <c r="C9" s="20" t="inlineStr">
        <is>
          <t xml:space="preserve">Daniel Motaung</t>
        </is>
      </c>
      <c r="D9" s="20" t="inlineStr">
        <is>
          <t xml:space="preserve">2026-09-22</t>
        </is>
      </c>
      <c r="E9" s="20" t="inlineStr">
        <is>
          <t xml:space="preserve">07:00–16:00 Warehouse loading</t>
        </is>
      </c>
      <c r="F9" s="20" t="inlineStr">
        <is>
          <t xml:space="preserve">Rate choice: Warehouse or Event/Venue</t>
        </is>
      </c>
      <c r="G9" s="20"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9" s="20"/>
      <c r="I9" s="21">
        <v>9</v>
      </c>
      <c r="J9" s="20"/>
      <c r="K9" s="20" t="inlineStr">
        <is>
          <t xml:space="preserve">approve original</t>
        </is>
      </c>
      <c r="L9" s="20" t="inlineStr">
        <is>
          <t xml:space="preserve">Bernie Burness</t>
        </is>
      </c>
      <c r="M9" s="20" t="inlineStr">
        <is>
          <t xml:space="preserve">2026-09-23 06:39:19</t>
        </is>
      </c>
      <c r="N9" s="20" t="inlineStr">
        <is>
          <t xml:space="preserve">Warehouse rate chosen — shift #9787 R750,00 → R690,63 (Warehouse: 9 h − 0.5 h staff meeting 07:00–07:30 (unpaid, R40,63) = 8.5 h × R81,25)</t>
        </is>
      </c>
    </row>
    <row r="10">
      <c r="A10" s="20" t="inlineStr">
        <is>
          <t xml:space="preserve">RESOLVED</t>
        </is>
      </c>
      <c r="B10" s="20">
        <v>9987</v>
      </c>
      <c r="C10" s="20" t="inlineStr">
        <is>
          <t xml:space="preserve">Daniel Motaung</t>
        </is>
      </c>
      <c r="D10" s="20" t="inlineStr">
        <is>
          <t xml:space="preserve">2026-09-24</t>
        </is>
      </c>
      <c r="E10" s="20" t="inlineStr">
        <is>
          <t xml:space="preserve">07:00–15:00 Warehouse</t>
        </is>
      </c>
      <c r="F10" s="20" t="inlineStr">
        <is>
          <t xml:space="preserve">Rate choice: Warehouse or Event/Venue</t>
        </is>
      </c>
      <c r="G10" s="20"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10" s="20"/>
      <c r="I10" s="21">
        <v>8</v>
      </c>
      <c r="J10" s="20"/>
      <c r="K10" s="20" t="inlineStr">
        <is>
          <t xml:space="preserve">approve original</t>
        </is>
      </c>
      <c r="L10" s="20" t="inlineStr">
        <is>
          <t xml:space="preserve">Bernie Burness</t>
        </is>
      </c>
      <c r="M10" s="20" t="inlineStr">
        <is>
          <t xml:space="preserve">2026-09-23 06:39:23</t>
        </is>
      </c>
      <c r="N10" s="20" t="inlineStr">
        <is>
          <t xml:space="preserve">Warehouse rate chosen — shift #9785 R1 620,00 → R0,00 (PUBLIC HOLIDAY — HELD for owner approval — recommended Warehouse public holiday (Heritage Day): 9 h × R162,50 (R81,25 × 2, no meeting deduction) = R1 462,50; R0 until approved)</t>
        </is>
      </c>
    </row>
    <row r="11">
      <c r="A11" s="20" t="inlineStr">
        <is>
          <t xml:space="preserve">RESOLVED</t>
        </is>
      </c>
      <c r="B11" s="20">
        <v>10138</v>
      </c>
      <c r="C11" s="20" t="inlineStr">
        <is>
          <t xml:space="preserve">Daniel Motaung</t>
        </is>
      </c>
      <c r="D11" s="20" t="inlineStr">
        <is>
          <t xml:space="preserve">2026-09-24</t>
        </is>
      </c>
      <c r="E11" s="20" t="inlineStr">
        <is>
          <t xml:space="preserve">07:00–15:00 Warehouse</t>
        </is>
      </c>
      <c r="F11" s="20" t="inlineStr">
        <is>
          <t xml:space="preserve">Public holiday (Heritage Day) — owner to approve or decline</t>
        </is>
      </c>
      <c r="G11" s="20" t="inlineStr">
        <is>
          <t xml:space="preserve">PUBLIC HOLIDAY — Heritage Day (24 Sep 2026): Daniel Motaung worked 07:00–16:00. Held for owner approval.</t>
        </is>
      </c>
      <c r="H11" s="20"/>
      <c r="I11" s="21">
        <v>8</v>
      </c>
      <c r="J11" s="21">
        <v>7.5</v>
      </c>
      <c r="K11" s="20" t="inlineStr">
        <is>
          <t xml:space="preserve">approve adjusted</t>
        </is>
      </c>
      <c r="L11" s="20" t="inlineStr">
        <is>
          <t xml:space="preserve">Bernie Burness</t>
        </is>
      </c>
      <c r="M11" s="20" t="inlineStr">
        <is>
          <t xml:space="preserve">2026-09-23 10:28:52</t>
        </is>
      </c>
      <c r="N11" s="20" t="inlineStr">
        <is>
          <t xml:space="preserve">Public holiday (Heritage Day) approved by Bernie Burness 23 Sep — hours set to 07:00–15:00 (no set-ups): Warehouse public holiday (Heritage Day), owner set hours 07:00–15:00: 8.0 h − 0.5 h staff meeting 07:00–07:30 (unpaid) = 7.5 h × R162,50 (R81,25 × 2) = R1218.75</t>
        </is>
      </c>
    </row>
    <row r="12">
      <c r="A12" s="23" t="inlineStr">
        <is>
          <t xml:space="preserve">RESOLVED</t>
        </is>
      </c>
      <c r="B12" s="23">
        <v>10048</v>
      </c>
      <c r="C12" s="23" t="inlineStr">
        <is>
          <t xml:space="preserve">Erence Mngomezulu</t>
        </is>
      </c>
      <c r="D12" s="23" t="inlineStr">
        <is>
          <t xml:space="preserve">2026-09-22</t>
        </is>
      </c>
      <c r="E12" s="23" t="inlineStr">
        <is>
          <t xml:space="preserve">07:00–16:00 Warehouse</t>
        </is>
      </c>
      <c r="F12" s="23" t="inlineStr">
        <is>
          <t xml:space="preserve">Rate choice: Warehouse or Event/Venue</t>
        </is>
      </c>
      <c r="G12" s="23"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12" s="23"/>
      <c r="I12" s="24">
        <v>9</v>
      </c>
      <c r="J12" s="23"/>
      <c r="K12" s="23" t="inlineStr">
        <is>
          <t xml:space="preserve">approve original</t>
        </is>
      </c>
      <c r="L12" s="23" t="inlineStr">
        <is>
          <t xml:space="preserve">Bernie Burness</t>
        </is>
      </c>
      <c r="M12" s="23" t="inlineStr">
        <is>
          <t xml:space="preserve">2026-09-23 06:40:06</t>
        </is>
      </c>
      <c r="N12" s="23" t="inlineStr">
        <is>
          <t xml:space="preserve">Warehouse rate chosen — shift #9826 R750,00 → R690,63 (Warehouse: 9 h − 0.5 h staff meeting 07:00–07:30 (unpaid, R40,63) = 8.5 h × R81,25)</t>
        </is>
      </c>
    </row>
    <row r="13">
      <c r="A13" s="23" t="inlineStr">
        <is>
          <t xml:space="preserve">RESOLVED</t>
        </is>
      </c>
      <c r="B13" s="23">
        <v>10050</v>
      </c>
      <c r="C13" s="23" t="inlineStr">
        <is>
          <t xml:space="preserve">Erence Mngomezulu</t>
        </is>
      </c>
      <c r="D13" s="23" t="inlineStr">
        <is>
          <t xml:space="preserve">2026-09-23</t>
        </is>
      </c>
      <c r="E13" s="23" t="inlineStr">
        <is>
          <t xml:space="preserve">07:00–16:00 Warehouse</t>
        </is>
      </c>
      <c r="F13" s="23" t="inlineStr">
        <is>
          <t xml:space="preserve">Rate choice: Warehouse or Event/Venue</t>
        </is>
      </c>
      <c r="G13" s="23"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13" s="23"/>
      <c r="I13" s="24">
        <v>9</v>
      </c>
      <c r="J13" s="23"/>
      <c r="K13" s="23" t="inlineStr">
        <is>
          <t xml:space="preserve">approve original</t>
        </is>
      </c>
      <c r="L13" s="23" t="inlineStr">
        <is>
          <t xml:space="preserve">Bernie Burness</t>
        </is>
      </c>
      <c r="M13" s="23" t="inlineStr">
        <is>
          <t xml:space="preserve">2026-09-23 06:40:07</t>
        </is>
      </c>
      <c r="N13" s="23" t="inlineStr">
        <is>
          <t xml:space="preserve">Warehouse rate chosen — shift #9827 R750,00 → R690,63 (Warehouse: 9 h − 0.5 h staff meeting 07:00–07:30 (unpaid, R40,63) = 8.5 h × R81,25)</t>
        </is>
      </c>
    </row>
    <row r="14">
      <c r="A14" s="23" t="inlineStr">
        <is>
          <t xml:space="preserve">RESOLVED</t>
        </is>
      </c>
      <c r="B14" s="23">
        <v>10053</v>
      </c>
      <c r="C14" s="23" t="inlineStr">
        <is>
          <t xml:space="preserve">Erence Mngomezulu</t>
        </is>
      </c>
      <c r="D14" s="23" t="inlineStr">
        <is>
          <t xml:space="preserve">2026-09-24</t>
        </is>
      </c>
      <c r="E14" s="23" t="inlineStr">
        <is>
          <t xml:space="preserve">07:00–15:00 Warehouse</t>
        </is>
      </c>
      <c r="F14" s="23" t="inlineStr">
        <is>
          <t xml:space="preserve">Rate choice: Warehouse or Event/Venue</t>
        </is>
      </c>
      <c r="G14" s="23"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14" s="23"/>
      <c r="I14" s="24">
        <v>8</v>
      </c>
      <c r="J14" s="23"/>
      <c r="K14" s="23" t="inlineStr">
        <is>
          <t xml:space="preserve">approve original</t>
        </is>
      </c>
      <c r="L14" s="23" t="inlineStr">
        <is>
          <t xml:space="preserve">Bernie Burness</t>
        </is>
      </c>
      <c r="M14" s="23" t="inlineStr">
        <is>
          <t xml:space="preserve">2026-09-23 06:40:09</t>
        </is>
      </c>
      <c r="N14" s="23" t="inlineStr">
        <is>
          <t xml:space="preserve">Warehouse rate chosen — shift #9829 R1 620,00 → R0,00 (PUBLIC HOLIDAY — HELD for owner approval — recommended Warehouse public holiday (Heritage Day): 9 h × R162,50 (R81,25 × 2, no meeting deduction) = R1 462,50; R0 until approved)</t>
        </is>
      </c>
    </row>
    <row r="15">
      <c r="A15" s="23" t="inlineStr">
        <is>
          <t xml:space="preserve">RESOLVED</t>
        </is>
      </c>
      <c r="B15" s="23">
        <v>10139</v>
      </c>
      <c r="C15" s="23" t="inlineStr">
        <is>
          <t xml:space="preserve">Erence Mngomezulu</t>
        </is>
      </c>
      <c r="D15" s="23" t="inlineStr">
        <is>
          <t xml:space="preserve">2026-09-24</t>
        </is>
      </c>
      <c r="E15" s="23" t="inlineStr">
        <is>
          <t xml:space="preserve">07:00–15:00 Warehouse</t>
        </is>
      </c>
      <c r="F15" s="23" t="inlineStr">
        <is>
          <t xml:space="preserve">Public holiday (Heritage Day) — owner to approve or decline</t>
        </is>
      </c>
      <c r="G15" s="23" t="inlineStr">
        <is>
          <t xml:space="preserve">PUBLIC HOLIDAY — Heritage Day (24 Sep 2026): Erence Mngomezulu worked 07:00–16:00. Held for owner approval.</t>
        </is>
      </c>
      <c r="H15" s="23"/>
      <c r="I15" s="24">
        <v>8</v>
      </c>
      <c r="J15" s="24">
        <v>7.5</v>
      </c>
      <c r="K15" s="23" t="inlineStr">
        <is>
          <t xml:space="preserve">approve adjusted</t>
        </is>
      </c>
      <c r="L15" s="23" t="inlineStr">
        <is>
          <t xml:space="preserve">Bernie Burness</t>
        </is>
      </c>
      <c r="M15" s="23" t="inlineStr">
        <is>
          <t xml:space="preserve">2026-09-23 10:28:58</t>
        </is>
      </c>
      <c r="N15" s="23" t="inlineStr">
        <is>
          <t xml:space="preserve">Public holiday (Heritage Day) approved by Bernie Burness 23 Sep — hours set to 07:00–15:00 (no set-ups): Warehouse public holiday (Heritage Day), owner set hours 07:00–15:00: 8.0 h − 0.5 h staff meeting 07:00–07:30 (unpaid) = 7.5 h × R162,50 (R81,25 × 2) = R1218.75</t>
        </is>
      </c>
    </row>
    <row r="16">
      <c r="A16" s="26" t="inlineStr">
        <is>
          <t xml:space="preserve">RESOLVED</t>
        </is>
      </c>
      <c r="B16" s="26">
        <v>10015</v>
      </c>
      <c r="C16" s="26" t="inlineStr">
        <is>
          <t xml:space="preserve">Erick Mpho Molefe</t>
        </is>
      </c>
      <c r="D16" s="26" t="inlineStr">
        <is>
          <t xml:space="preserve">2026-09-22</t>
        </is>
      </c>
      <c r="E16" s="26" t="inlineStr">
        <is>
          <t xml:space="preserve">07:00–16:00 warehouse</t>
        </is>
      </c>
      <c r="F16" s="26" t="inlineStr">
        <is>
          <t xml:space="preserve">Rate choice: Warehouse or Event/Venue</t>
        </is>
      </c>
      <c r="G16" s="26"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16" s="26"/>
      <c r="I16" s="27">
        <v>9</v>
      </c>
      <c r="J16" s="26"/>
      <c r="K16" s="26" t="inlineStr">
        <is>
          <t xml:space="preserve">approve original</t>
        </is>
      </c>
      <c r="L16" s="26" t="inlineStr">
        <is>
          <t xml:space="preserve">Bernie Burness</t>
        </is>
      </c>
      <c r="M16" s="26" t="inlineStr">
        <is>
          <t xml:space="preserve">2026-09-23 06:40:17</t>
        </is>
      </c>
      <c r="N16" s="26" t="inlineStr">
        <is>
          <t xml:space="preserve">Warehouse rate chosen — shift #9800 R750,00 → R690,63 (Warehouse: 9 h − 0.5 h staff meeting 07:00–07:30 (unpaid, R40,63) = 8.5 h × R81,25)</t>
        </is>
      </c>
    </row>
    <row r="17">
      <c r="A17" s="26" t="inlineStr">
        <is>
          <t xml:space="preserve">RESOLVED</t>
        </is>
      </c>
      <c r="B17" s="26">
        <v>10010</v>
      </c>
      <c r="C17" s="26" t="inlineStr">
        <is>
          <t xml:space="preserve">Erick Mpho Molefe</t>
        </is>
      </c>
      <c r="D17" s="26" t="inlineStr">
        <is>
          <t xml:space="preserve">2026-09-24</t>
        </is>
      </c>
      <c r="E17" s="26" t="inlineStr">
        <is>
          <t xml:space="preserve">07:00–15:00 wharehouse</t>
        </is>
      </c>
      <c r="F17" s="26" t="inlineStr">
        <is>
          <t xml:space="preserve">Public holiday (Heritage Day) — owner to approve or decline</t>
        </is>
      </c>
      <c r="G17" s="26" t="inlineStr">
        <is>
          <t xml:space="preserve">PUBLIC HOLIDAY — OWNER APPROVAL NEEDED: Erick Mpho Molefe worked 07:00–16:00 on 2026-09-24 (Heritage Day) at wharehouse (Normal). Public-holiday work is not paid automatically. Recommended: Venue/event public holiday (Heritage Day): 9 h × R190 (R95 × 2) = R1 710,00. R0 is paid until the owner approves or declines.</t>
        </is>
      </c>
      <c r="H17" s="26"/>
      <c r="I17" s="27">
        <v>8</v>
      </c>
      <c r="J17" s="27">
        <v>7.5</v>
      </c>
      <c r="K17" s="26" t="inlineStr">
        <is>
          <t xml:space="preserve">approve adjusted</t>
        </is>
      </c>
      <c r="L17" s="26" t="inlineStr">
        <is>
          <t xml:space="preserve">Bernie Burness</t>
        </is>
      </c>
      <c r="M17" s="26" t="inlineStr">
        <is>
          <t xml:space="preserve">2026-09-23 10:29:03</t>
        </is>
      </c>
      <c r="N17" s="26" t="inlineStr">
        <is>
          <t xml:space="preserve">Public holiday (Heritage Day) approved by Bernie Burness 23 Sep — hours set to 07:00–15:00 (no set-ups): Warehouse public holiday (Heritage Day), owner set hours 07:00–15:00: 8.0 h − 0.5 h staff meeting 07:00–07:30 (unpaid) = 7.5 h × R162,50 (R81,25 × 2) = R1218.75</t>
        </is>
      </c>
    </row>
    <row r="18">
      <c r="A18" s="29" t="inlineStr">
        <is>
          <t xml:space="preserve">RESOLVED</t>
        </is>
      </c>
      <c r="B18" s="29">
        <v>10073</v>
      </c>
      <c r="C18" s="29" t="inlineStr">
        <is>
          <t xml:space="preserve">Givemore Chifetete Kuziwa</t>
        </is>
      </c>
      <c r="D18" s="29" t="inlineStr">
        <is>
          <t xml:space="preserve">2026-09-17</t>
        </is>
      </c>
      <c r="E18" s="29" t="inlineStr">
        <is>
          <t xml:space="preserve">06:00–18:00 Warehouse</t>
        </is>
      </c>
      <c r="F18" s="29" t="inlineStr">
        <is>
          <t xml:space="preserve">Warehouse claimed — but area says “Pretoria and fnb”</t>
        </is>
      </c>
      <c r="G18" s="29" t="inlineStr">
        <is>
          <t xml:space="preserve">WAREHOUSE CLAIMED BUT AREA SAYS “Pretoria and fnb”: Givemore Chifetete Kuziwa selected Warehouse Team at “Warehouse” for 12.00 h on Thu 17 Sep 2026, but wrote the area as “Pretoria and fnb” — that is a venue, not the warehouse. Other workers were at Botanical garden Pretoria that day. If he was at “Pretoria and fnb”, he is due the venue rate (R95/h); if he was really in the warehouse, R81,25/h. Choose below.</t>
        </is>
      </c>
      <c r="H18" s="29"/>
      <c r="I18" s="30">
        <v>12</v>
      </c>
      <c r="J18" s="29"/>
      <c r="K18" s="29" t="inlineStr">
        <is>
          <t xml:space="preserve">approve original</t>
        </is>
      </c>
      <c r="L18" s="29" t="inlineStr">
        <is>
          <t xml:space="preserve">Bernie Burness</t>
        </is>
      </c>
      <c r="M18" s="29" t="inlineStr">
        <is>
          <t xml:space="preserve">2026-09-23 08:58:26</t>
        </is>
      </c>
      <c r="N18" s="29" t="inlineStr">
        <is>
          <t xml:space="preserve">Event/Venue rate chosen — shift #9789 R934,38 → R640,00 (Venue/event: 12 h × R95 → DIFFERENCE ONLY: Paid last week 08:00–16:00 House/Garden 8.00 h × R62,50 = R500,00 (shift #9705, payroll earlier); 06:00–18:00 at a venue = R1 140,00 (R95,00/h); less the House/Garden already paid R500,00; TO PAY THIS WEEK R640,00)</t>
        </is>
      </c>
    </row>
    <row r="19">
      <c r="A19" s="29" t="inlineStr">
        <is>
          <t xml:space="preserve">RESOLVED</t>
        </is>
      </c>
      <c r="B19" s="29">
        <v>10140</v>
      </c>
      <c r="C19" s="29" t="inlineStr">
        <is>
          <t xml:space="preserve">Givemore Chifetete Kuziwa</t>
        </is>
      </c>
      <c r="D19" s="29" t="inlineStr">
        <is>
          <t xml:space="preserve">2026-09-24</t>
        </is>
      </c>
      <c r="E19" s="29" t="inlineStr">
        <is>
          <t xml:space="preserve">08:00–15:00 Garden</t>
        </is>
      </c>
      <c r="F19" s="29" t="inlineStr">
        <is>
          <t xml:space="preserve">Public holiday (Heritage Day) — Givemore — approved R1 000,00 — CHECK HOURS NEXT WEEK</t>
        </is>
      </c>
      <c r="G19" s="29" t="inlineStr">
        <is>
          <t xml:space="preserve">PUBLIC HOLIDAY — Heritage Day: Givemore (gardener) claimed 08:00–16:00. Owner: double the day = R1 000. VERIFY NEXT WEEK whether he actually worked 8 h or 4 h.</t>
        </is>
      </c>
      <c r="H19" s="29"/>
      <c r="I19" s="30">
        <v>7</v>
      </c>
      <c r="J19" s="30">
        <v>7</v>
      </c>
      <c r="K19" s="29" t="inlineStr">
        <is>
          <t xml:space="preserve">approve original</t>
        </is>
      </c>
      <c r="L19" s="29" t="inlineStr">
        <is>
          <t xml:space="preserve">Bernie Burness</t>
        </is>
      </c>
      <c r="M19" s="29" t="inlineStr">
        <is>
          <t xml:space="preserve">2026-09-23 10:31:30</t>
        </is>
      </c>
      <c r="N19" s="29" t="inlineStr">
        <is>
          <t xml:space="preserve">Public holiday (Heritage Day) approved by Bernie Burness 23 Sep — gardener, hours set to 08:00–15:00: 7 h × R62,50 × 2 = R875,00. CHECK NEXT WEEK what time he really worked until.</t>
        </is>
      </c>
    </row>
    <row r="20">
      <c r="A20" s="32" t="inlineStr">
        <is>
          <t xml:space="preserve">RESOLVED</t>
        </is>
      </c>
      <c r="B20" s="32">
        <v>10104</v>
      </c>
      <c r="C20" s="32" t="inlineStr">
        <is>
          <t xml:space="preserve">Isaac Mbele</t>
        </is>
      </c>
      <c r="D20" s="32" t="inlineStr">
        <is>
          <t xml:space="preserve">2026-09-21</t>
        </is>
      </c>
      <c r="E20" s="32" t="inlineStr">
        <is>
          <t xml:space="preserve">07:00–16:00 Warehouse</t>
        </is>
      </c>
      <c r="F20" s="32" t="inlineStr">
        <is>
          <t xml:space="preserve">Rate choice: Warehouse or Event/Venue</t>
        </is>
      </c>
      <c r="G20" s="32"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20" s="32"/>
      <c r="I20" s="33">
        <v>9</v>
      </c>
      <c r="J20" s="32"/>
      <c r="K20" s="32" t="inlineStr">
        <is>
          <t xml:space="preserve">approve original</t>
        </is>
      </c>
      <c r="L20" s="32" t="inlineStr">
        <is>
          <t xml:space="preserve">Bernie Burness</t>
        </is>
      </c>
      <c r="M20" s="32" t="inlineStr">
        <is>
          <t xml:space="preserve">2026-09-23 08:43:25</t>
        </is>
      </c>
      <c r="N20" s="32" t="inlineStr">
        <is>
          <t xml:space="preserve">Warehouse rate chosen — shift #9850 R750,00 → R690,63 (Warehouse: 9 h − 0.5 h staff meeting 07:00–07:30 (unpaid, R40,63) = 8.5 h × R81,25)</t>
        </is>
      </c>
    </row>
    <row r="21">
      <c r="A21" s="32" t="inlineStr">
        <is>
          <t xml:space="preserve">RESOLVED</t>
        </is>
      </c>
      <c r="B21" s="32">
        <v>10106</v>
      </c>
      <c r="C21" s="32" t="inlineStr">
        <is>
          <t xml:space="preserve">Isaac Mbele</t>
        </is>
      </c>
      <c r="D21" s="32" t="inlineStr">
        <is>
          <t xml:space="preserve">2026-09-22</t>
        </is>
      </c>
      <c r="E21" s="32" t="inlineStr">
        <is>
          <t xml:space="preserve">07:00–16:00 Warehouse</t>
        </is>
      </c>
      <c r="F21" s="32" t="inlineStr">
        <is>
          <t xml:space="preserve">Rate choice: Warehouse or Event/Venue</t>
        </is>
      </c>
      <c r="G21" s="32"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21" s="32"/>
      <c r="I21" s="33">
        <v>9</v>
      </c>
      <c r="J21" s="32"/>
      <c r="K21" s="32" t="inlineStr">
        <is>
          <t xml:space="preserve">approve original</t>
        </is>
      </c>
      <c r="L21" s="32" t="inlineStr">
        <is>
          <t xml:space="preserve">Bernie Burness</t>
        </is>
      </c>
      <c r="M21" s="32" t="inlineStr">
        <is>
          <t xml:space="preserve">2026-09-23 08:43:27</t>
        </is>
      </c>
      <c r="N21" s="32" t="inlineStr">
        <is>
          <t xml:space="preserve">Warehouse rate chosen — shift #9851 R750,00 → R690,63 (Warehouse: 9 h − 0.5 h staff meeting 07:00–07:30 (unpaid, R40,63) = 8.5 h × R81,25)</t>
        </is>
      </c>
    </row>
    <row r="22">
      <c r="A22" s="32" t="inlineStr">
        <is>
          <t xml:space="preserve">RESOLVED</t>
        </is>
      </c>
      <c r="B22" s="32">
        <v>10118</v>
      </c>
      <c r="C22" s="32" t="inlineStr">
        <is>
          <t xml:space="preserve">Isaac Mbele</t>
        </is>
      </c>
      <c r="D22" s="32" t="inlineStr">
        <is>
          <t xml:space="preserve">2026-09-23</t>
        </is>
      </c>
      <c r="E22" s="32" t="inlineStr">
        <is>
          <t xml:space="preserve">07:00–16:00 Warehouse</t>
        </is>
      </c>
      <c r="F22" s="32" t="inlineStr">
        <is>
          <t xml:space="preserve">Rate choice: Warehouse or Event/Venue</t>
        </is>
      </c>
      <c r="G22" s="32"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22" s="32"/>
      <c r="I22" s="33">
        <v>9</v>
      </c>
      <c r="J22" s="32"/>
      <c r="K22" s="32" t="inlineStr">
        <is>
          <t xml:space="preserve">approve original</t>
        </is>
      </c>
      <c r="L22" s="32" t="inlineStr">
        <is>
          <t xml:space="preserve">Bernie Burness</t>
        </is>
      </c>
      <c r="M22" s="32" t="inlineStr">
        <is>
          <t xml:space="preserve">2026-09-23 08:43:31</t>
        </is>
      </c>
      <c r="N22" s="32" t="inlineStr">
        <is>
          <t xml:space="preserve">Warehouse rate chosen — shift #9854 R750,00 → R690,63 (Warehouse: 9 h − 0.5 h staff meeting 07:00–07:30 (unpaid, R40,63) = 8.5 h × R81,25)</t>
        </is>
      </c>
    </row>
    <row r="23">
      <c r="A23" s="32" t="inlineStr">
        <is>
          <t xml:space="preserve">RESOLVED</t>
        </is>
      </c>
      <c r="B23" s="32">
        <v>10125</v>
      </c>
      <c r="C23" s="32" t="inlineStr">
        <is>
          <t xml:space="preserve">Isaac Mbele</t>
        </is>
      </c>
      <c r="D23" s="32" t="inlineStr">
        <is>
          <t xml:space="preserve">2026-09-24</t>
        </is>
      </c>
      <c r="E23" s="32" t="inlineStr">
        <is>
          <t xml:space="preserve">07:00–15:00 Warehouse</t>
        </is>
      </c>
      <c r="F23" s="32" t="inlineStr">
        <is>
          <t xml:space="preserve">Rate choice: Warehouse or Event/Venue</t>
        </is>
      </c>
      <c r="G23" s="32"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23" s="32"/>
      <c r="I23" s="33">
        <v>8</v>
      </c>
      <c r="J23" s="32"/>
      <c r="K23" s="32" t="inlineStr">
        <is>
          <t xml:space="preserve">approve original</t>
        </is>
      </c>
      <c r="L23" s="32" t="inlineStr">
        <is>
          <t xml:space="preserve">Bernie Burness</t>
        </is>
      </c>
      <c r="M23" s="32" t="inlineStr">
        <is>
          <t xml:space="preserve">2026-09-23 08:43:34</t>
        </is>
      </c>
      <c r="N23" s="32" t="inlineStr">
        <is>
          <t xml:space="preserve">Warehouse rate chosen — shift #9856 R1 620,00 → R0,00 (PUBLIC HOLIDAY — HELD for owner approval — recommended Warehouse public holiday (Heritage Day): 9 h × R162,50 (R81,25 × 2, no meeting deduction) = R1 462,50; R0 until approved)</t>
        </is>
      </c>
    </row>
    <row r="24">
      <c r="A24" s="32" t="inlineStr">
        <is>
          <t xml:space="preserve">RESOLVED</t>
        </is>
      </c>
      <c r="B24" s="32">
        <v>10141</v>
      </c>
      <c r="C24" s="32" t="inlineStr">
        <is>
          <t xml:space="preserve">Isaac Mbele</t>
        </is>
      </c>
      <c r="D24" s="32" t="inlineStr">
        <is>
          <t xml:space="preserve">2026-09-24</t>
        </is>
      </c>
      <c r="E24" s="32" t="inlineStr">
        <is>
          <t xml:space="preserve">07:00–15:00 Warehouse</t>
        </is>
      </c>
      <c r="F24" s="32" t="inlineStr">
        <is>
          <t xml:space="preserve">Public holiday (Heritage Day) — owner to approve or decline</t>
        </is>
      </c>
      <c r="G24" s="32" t="inlineStr">
        <is>
          <t xml:space="preserve">PUBLIC HOLIDAY — Heritage Day (24 Sep 2026): Isaac Mbele worked 07:00–15:00. Held for owner approval.</t>
        </is>
      </c>
      <c r="H24" s="32"/>
      <c r="I24" s="33">
        <v>8</v>
      </c>
      <c r="J24" s="33">
        <v>7.5</v>
      </c>
      <c r="K24" s="32" t="inlineStr">
        <is>
          <t xml:space="preserve">approve adjusted</t>
        </is>
      </c>
      <c r="L24" s="32" t="inlineStr">
        <is>
          <t xml:space="preserve">Bernie Burness</t>
        </is>
      </c>
      <c r="M24" s="32" t="inlineStr">
        <is>
          <t xml:space="preserve">2026-09-23 10:32:01</t>
        </is>
      </c>
      <c r="N24" s="32" t="inlineStr">
        <is>
          <t xml:space="preserve">Public holiday (Heritage Day) approved by Bernie Burness 23 Sep — hours set to 07:00–15:00 (no set-ups): Warehouse public holiday (Heritage Day), owner set hours 07:00–15:00: 8.0 h − 0.5 h staff meeting 07:00–07:30 (unpaid) = 7.5 h × R162,50 (R81,25 × 2) = R1218.75</t>
        </is>
      </c>
    </row>
    <row r="25">
      <c r="A25" s="32" t="inlineStr">
        <is>
          <t xml:space="preserve">RESOLVED</t>
        </is>
      </c>
      <c r="B25" s="32">
        <v>10129</v>
      </c>
      <c r="C25" s="32" t="inlineStr">
        <is>
          <t xml:space="preserve">Isaac Mbele</t>
        </is>
      </c>
      <c r="D25" s="32" t="inlineStr">
        <is>
          <t xml:space="preserve">2026-09-25</t>
        </is>
      </c>
      <c r="E25" s="32" t="inlineStr">
        <is>
          <t xml:space="preserve">07:00–16:00 Warehouse</t>
        </is>
      </c>
      <c r="F25" s="32" t="inlineStr">
        <is>
          <t xml:space="preserve">Rate choice: Warehouse or Event/Venue</t>
        </is>
      </c>
      <c r="G25" s="32"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25" s="32"/>
      <c r="I25" s="33">
        <v>9</v>
      </c>
      <c r="J25" s="32"/>
      <c r="K25" s="32" t="inlineStr">
        <is>
          <t xml:space="preserve">approve original</t>
        </is>
      </c>
      <c r="L25" s="32" t="inlineStr">
        <is>
          <t xml:space="preserve">Bernie Burness</t>
        </is>
      </c>
      <c r="M25" s="32" t="inlineStr">
        <is>
          <t xml:space="preserve">2026-09-23 08:43:37</t>
        </is>
      </c>
      <c r="N25" s="32" t="inlineStr">
        <is>
          <t xml:space="preserve">Warehouse rate chosen — shift #9858 R750,00 → R690,63 (Warehouse: 9 h − 0.5 h staff meeting 07:00–07:30 (unpaid, R40,63) = 8.5 h × R81,25)</t>
        </is>
      </c>
    </row>
    <row r="26">
      <c r="A26" s="17" t="inlineStr">
        <is>
          <t xml:space="preserve">RESOLVED</t>
        </is>
      </c>
      <c r="B26" s="17">
        <v>10122</v>
      </c>
      <c r="C26" s="17" t="inlineStr">
        <is>
          <t xml:space="preserve">John Simbarashe Mhlanga</t>
        </is>
      </c>
      <c r="D26" s="17" t="inlineStr">
        <is>
          <t xml:space="preserve">2026-09-16</t>
        </is>
      </c>
      <c r="E26" s="17" t="inlineStr">
        <is>
          <t xml:space="preserve">07:00–16:00 Botanical gardens event day</t>
        </is>
      </c>
      <c r="F26" s="17" t="inlineStr">
        <is>
          <t xml:space="preserve">Manual overlap review</t>
        </is>
      </c>
      <c r="G26" s="17" t="inlineStr">
        <is>
          <t xml:space="preserve">the same employee has another overlapping entry on 2026-09-16 for 07:00-16:00.</t>
        </is>
      </c>
      <c r="H26" s="17"/>
      <c r="I26" s="18">
        <v>9</v>
      </c>
      <c r="J26" s="18">
        <v>0</v>
      </c>
      <c r="K26" s="17" t="inlineStr">
        <is>
          <t xml:space="preserve">already paid r0</t>
        </is>
      </c>
      <c r="L26" s="17" t="inlineStr">
        <is>
          <t xml:space="preserve">Bernie Burness</t>
        </is>
      </c>
      <c r="M26" s="17" t="inlineStr">
        <is>
          <t xml:space="preserve">2026-09-23 08:53:49</t>
        </is>
      </c>
      <c r="N26" s="17" t="inlineStr">
        <is>
          <t xml:space="preserve">ALREADY BILLED Wednesday 2026-09-16 · 07:00–16:00 · 9.00 h Normal · Botanical gardens event day · Running the event at botanical Gardens R750,00 · shift #9766 · PAID in payroll 2026-09-12 → 2026-09-18 (closed)</t>
        </is>
      </c>
    </row>
    <row r="27">
      <c r="A27" s="17" t="inlineStr">
        <is>
          <t xml:space="preserve">RESOLVED</t>
        </is>
      </c>
      <c r="B27" s="17">
        <v>10132</v>
      </c>
      <c r="C27" s="17" t="inlineStr">
        <is>
          <t xml:space="preserve">John Simbarashe Mhlanga</t>
        </is>
      </c>
      <c r="D27" s="17" t="inlineStr">
        <is>
          <t xml:space="preserve">2026-09-16</t>
        </is>
      </c>
      <c r="E27" s="17" t="inlineStr">
        <is>
          <t xml:space="preserve">07:00–16:00 Botanical gardens event day</t>
        </is>
      </c>
      <c r="F27" s="17" t="inlineStr">
        <is>
          <t xml:space="preserve">ALREADY PAID — WRONG RATE</t>
        </is>
      </c>
      <c r="G27" s="17" t="inlineStr">
        <is>
          <t xml:space="preserve">John was paid Wed 16 Sep 2026 07:00–16:00 · Botanical gardens event day (Pretoria) · Normal · "Running the event at botanical Gardens" · 9.00 h × R90,00 = R750,00 (payroll 2026-09-12). He now claims 07:00–16:00 · Botanical gardens event day (Pretoria) · Normal · "Running the event at botanical Gardens" · 9.00 h for the same day. Same work type, but the rate paid (R90,00/h) differs from the rule (R95,00/h). • Rate correction on the paid hours 07:00–16:00: 9.00 h — worth R855,00 at the correct rule, R750,00 was paid → +R105,00 Still due: R105,00 (full day 9.00 h at the correct rule = R855,00 − R750,00 already paid). Hours from Wednesday onwards are estimated for the auditor run; this entry corrects them. Bernie to approve — nothing has been changed.</t>
        </is>
      </c>
      <c r="H27" s="18">
        <v>0</v>
      </c>
      <c r="I27" s="18">
        <v>9</v>
      </c>
      <c r="J27" s="18">
        <v>0</v>
      </c>
      <c r="K27" s="17" t="inlineStr">
        <is>
          <t xml:space="preserve">approve adjusted</t>
        </is>
      </c>
      <c r="L27" s="17" t="inlineStr">
        <is>
          <t xml:space="preserve">Bernie Burness</t>
        </is>
      </c>
      <c r="M27" s="17" t="inlineStr">
        <is>
          <t xml:space="preserve">2026-09-23 08:56:44</t>
        </is>
      </c>
      <c r="N27" s="17" t="inlineStr">
        <is>
          <t xml:space="preserve">Already paid — WRONG RATE — R105,00 still due — approved amount R105,00</t>
        </is>
      </c>
    </row>
    <row r="28">
      <c r="A28" s="17" t="inlineStr">
        <is>
          <t xml:space="preserve">RESOLVED</t>
        </is>
      </c>
      <c r="B28" s="17">
        <v>9972</v>
      </c>
      <c r="C28" s="17" t="inlineStr">
        <is>
          <t xml:space="preserve">John Simbarashe Mhlanga</t>
        </is>
      </c>
      <c r="D28" s="17" t="inlineStr">
        <is>
          <t xml:space="preserve">2026-09-17</t>
        </is>
      </c>
      <c r="E28" s="17" t="inlineStr">
        <is>
          <t xml:space="preserve">15:00–20:00 Music Bus</t>
        </is>
      </c>
      <c r="F28" s="17" t="inlineStr">
        <is>
          <t xml:space="preserve">Manual overlap review</t>
        </is>
      </c>
      <c r="G28" s="17" t="inlineStr">
        <is>
          <t xml:space="preserve">the same employee has another overlapping entry on 2026-09-17 for 15:00-20:00.</t>
        </is>
      </c>
      <c r="H28" s="17"/>
      <c r="I28" s="18">
        <v>5</v>
      </c>
      <c r="J28" s="18">
        <v>4</v>
      </c>
      <c r="K28" s="17" t="inlineStr">
        <is>
          <t xml:space="preserve">approve adjusted</t>
        </is>
      </c>
      <c r="L28" s="17" t="inlineStr">
        <is>
          <t xml:space="preserve">Bernie Burness</t>
        </is>
      </c>
      <c r="M28" s="17" t="inlineStr">
        <is>
          <t xml:space="preserve">2026-09-23 08:56:08</t>
        </is>
      </c>
      <c r="N28" s="17" t="inlineStr">
        <is>
          <t xml:space="preserve">ALREADY BILLED Thursday 2026-09-17 · 07:00–16:00 · 9.00 h Normal · FNB Stadium · Setting up R750,00 · shift #9767 · PAID in payroll 2026-09-12 → 2026-09-18 (closed)</t>
        </is>
      </c>
    </row>
    <row r="29">
      <c r="A29" s="17" t="inlineStr">
        <is>
          <t xml:space="preserve">RESOLVED</t>
        </is>
      </c>
      <c r="B29" s="17">
        <v>10069</v>
      </c>
      <c r="C29" s="17" t="inlineStr">
        <is>
          <t xml:space="preserve">John Simbarashe Mhlanga</t>
        </is>
      </c>
      <c r="D29" s="17" t="inlineStr">
        <is>
          <t xml:space="preserve">2026-09-17</t>
        </is>
      </c>
      <c r="E29" s="17" t="inlineStr">
        <is>
          <t xml:space="preserve">15:00–20:00 Music Bus</t>
        </is>
      </c>
      <c r="F29" s="17" t="inlineStr">
        <is>
          <t xml:space="preserve">ALREADY PAID — EXTRA HOURS</t>
        </is>
      </c>
      <c r="G29" s="17" t="inlineStr">
        <is>
          <t xml:space="preserve">John was paid Thu 17 Sep 2026 07:00–16:00 · FNB Stadium (Jhb) · Normal · "Setting up" · 9.00 h × R90,00 = R750,00 (payroll 2026-09-12). He now claims 15:00–20:00 · Music Bus (Thembisa) · Music Bus · "Missed shifts from Thursday doing music bus in Thembisa where there was a trade visit" · 5.00 h for the same day. Work type changed: Normal → Music Bus (rate R90,00 → R120,00). • Extra hours 16:00–20:00: 4.00 h → R480,00 Still due: R480,00 (full day 5.00 h at the correct rule = R1 230,00 − R750,00 already paid). Hours from Wednesday onwards are estimated for the auditor run; this entry corrects them. Bernie to approve — nothing has been changed.</t>
        </is>
      </c>
      <c r="H29" s="18">
        <v>4</v>
      </c>
      <c r="I29" s="18">
        <v>5</v>
      </c>
      <c r="J29" s="18">
        <v>4</v>
      </c>
      <c r="K29" s="17" t="inlineStr">
        <is>
          <t xml:space="preserve">approve adjusted</t>
        </is>
      </c>
      <c r="L29" s="17" t="inlineStr">
        <is>
          <t xml:space="preserve">Bernie Burness</t>
        </is>
      </c>
      <c r="M29" s="17" t="inlineStr">
        <is>
          <t xml:space="preserve">2026-09-23 09:03:50</t>
        </is>
      </c>
      <c r="N29" s="17" t="inlineStr">
        <is>
          <t xml:space="preserve">Already paid — EXTRA HOURS — R480,00 still due — approved amount R480,00</t>
        </is>
      </c>
    </row>
    <row r="30">
      <c r="A30" s="17" t="inlineStr">
        <is>
          <t xml:space="preserve">RESOLVED</t>
        </is>
      </c>
      <c r="B30" s="17">
        <v>10072</v>
      </c>
      <c r="C30" s="17" t="inlineStr">
        <is>
          <t xml:space="preserve">John Simbarashe Mhlanga</t>
        </is>
      </c>
      <c r="D30" s="17" t="inlineStr">
        <is>
          <t xml:space="preserve">2026-09-21</t>
        </is>
      </c>
      <c r="E30" s="17" t="inlineStr">
        <is>
          <t xml:space="preserve">07:00–16:00 FNB Stadium</t>
        </is>
      </c>
      <c r="F30" s="17" t="inlineStr">
        <is>
          <t xml:space="preserve">ALREADY PAID — SAME SHIFT AGAIN (duplicate)</t>
        </is>
      </c>
      <c r="G30" s="17" t="inlineStr">
        <is>
          <t xml:space="preserve">John was paid Mon 21 Sep 2026 07:00–16:00 · FNB Stadium (Soweto jhb) · Normal · "Strike down" · 9.00 h × R95,00 = R855,00 (payroll 2026-09-19). He now claims 07:00–16:00 · FNB Stadium (Soweto jhb) · Normal · "Strike down" · 9.00 h for the same day. Every hour of this claim is already paid. Nothing is due: R0,00. Hours from Wednesday onwards are estimated for the auditor run; this entry corrects them. Bernie to approve — nothing has been changed.</t>
        </is>
      </c>
      <c r="H30" s="18">
        <v>0</v>
      </c>
      <c r="I30" s="18">
        <v>9</v>
      </c>
      <c r="J30" s="18">
        <v>0</v>
      </c>
      <c r="K30" s="17" t="inlineStr">
        <is>
          <t xml:space="preserve">already paid r0</t>
        </is>
      </c>
      <c r="L30" s="17" t="inlineStr">
        <is>
          <t xml:space="preserve">Bernie Burness</t>
        </is>
      </c>
      <c r="M30" s="17" t="inlineStr">
        <is>
          <t xml:space="preserve">2026-09-23 09:01:41</t>
        </is>
      </c>
      <c r="N30" s="17" t="inlineStr">
        <is>
          <t xml:space="preserve">Already paid — SAME SHIFT AGAIN (duplicate) — R0,00 still due — approved amount R0,00</t>
        </is>
      </c>
    </row>
    <row r="31">
      <c r="A31" s="17" t="inlineStr">
        <is>
          <t xml:space="preserve">RESOLVED</t>
        </is>
      </c>
      <c r="B31" s="17">
        <v>10126</v>
      </c>
      <c r="C31" s="17" t="inlineStr">
        <is>
          <t xml:space="preserve">John Simbarashe Mhlanga</t>
        </is>
      </c>
      <c r="D31" s="17" t="inlineStr">
        <is>
          <t xml:space="preserve">2026-09-21</t>
        </is>
      </c>
      <c r="E31" s="17" t="inlineStr">
        <is>
          <t xml:space="preserve">07:00–16:00 FNB Stadium</t>
        </is>
      </c>
      <c r="F31" s="17" t="inlineStr">
        <is>
          <t xml:space="preserve">Manual overlap review</t>
        </is>
      </c>
      <c r="G31" s="17" t="inlineStr">
        <is>
          <t xml:space="preserve">the same employee has another overlapping entry on 2026-09-21 for 07:00-16:00.</t>
        </is>
      </c>
      <c r="H31" s="17"/>
      <c r="I31" s="18">
        <v>9</v>
      </c>
      <c r="J31" s="18">
        <v>0</v>
      </c>
      <c r="K31" s="17" t="inlineStr">
        <is>
          <t xml:space="preserve">already paid r0</t>
        </is>
      </c>
      <c r="L31" s="17" t="inlineStr">
        <is>
          <t xml:space="preserve">Bernie Burness</t>
        </is>
      </c>
      <c r="M31" s="17" t="inlineStr">
        <is>
          <t xml:space="preserve">2026-09-23 09:06:06</t>
        </is>
      </c>
      <c r="N31" s="17" t="inlineStr">
        <is>
          <t xml:space="preserve">ALREADY BILLED Monday 2026-09-21 · 07:00–16:00 · 9.00 h Normal · FNB Stadium · Strike down R855,00 · shift #9857 · in THIS payroll (2026-09-19 → 2026-09-25, not yet paid)</t>
        </is>
      </c>
    </row>
    <row r="32">
      <c r="A32" s="17" t="inlineStr">
        <is>
          <t xml:space="preserve">RESOLVED</t>
        </is>
      </c>
      <c r="B32" s="17">
        <v>10131</v>
      </c>
      <c r="C32" s="17" t="inlineStr">
        <is>
          <t xml:space="preserve">John Simbarashe Mhlanga</t>
        </is>
      </c>
      <c r="D32" s="17" t="inlineStr">
        <is>
          <t xml:space="preserve">2026-09-21</t>
        </is>
      </c>
      <c r="E32" s="17" t="inlineStr">
        <is>
          <t xml:space="preserve">07:00–16:00 FNB Stadium</t>
        </is>
      </c>
      <c r="F32" s="17" t="inlineStr">
        <is>
          <t xml:space="preserve">ALREADY PAID — SAME SHIFT AGAIN (duplicate)</t>
        </is>
      </c>
      <c r="G32" s="17" t="inlineStr">
        <is>
          <t xml:space="preserve">John was paid Mon 21 Sep 2026 07:00–16:00 · FNB Stadium (Soweto jhb) · Normal · "Strike down" · 9.00 h × R95,00 = R855,00 (payroll 2026-09-19). He now claims 07:00–16:00 · FNB Stadium (Soweto jhb) · Normal · "Strike down" · 9.00 h for the same day. Every hour of this claim is already paid. Nothing is due: R0,00. Hours from Wednesday onwards are estimated for the auditor run; this entry corrects them. Bernie to approve — nothing has been changed.</t>
        </is>
      </c>
      <c r="H32" s="18">
        <v>0</v>
      </c>
      <c r="I32" s="18">
        <v>9</v>
      </c>
      <c r="J32" s="18">
        <v>0</v>
      </c>
      <c r="K32" s="17" t="inlineStr">
        <is>
          <t xml:space="preserve">already paid r0</t>
        </is>
      </c>
      <c r="L32" s="17" t="inlineStr">
        <is>
          <t xml:space="preserve">Bernie Burness</t>
        </is>
      </c>
      <c r="M32" s="17" t="inlineStr">
        <is>
          <t xml:space="preserve">2026-09-23 09:03:55</t>
        </is>
      </c>
      <c r="N32" s="17" t="inlineStr">
        <is>
          <t xml:space="preserve">Already paid — SAME SHIFT AGAIN (duplicate) — R0,00 still due — approved amount R0,00</t>
        </is>
      </c>
    </row>
    <row r="33">
      <c r="A33" s="17" t="inlineStr">
        <is>
          <t xml:space="preserve">RESOLVED</t>
        </is>
      </c>
      <c r="B33" s="17">
        <v>9983</v>
      </c>
      <c r="C33" s="17" t="inlineStr">
        <is>
          <t xml:space="preserve">John Simbarashe Mhlanga</t>
        </is>
      </c>
      <c r="D33" s="17" t="inlineStr">
        <is>
          <t xml:space="preserve">2026-09-22</t>
        </is>
      </c>
      <c r="E33" s="17" t="inlineStr">
        <is>
          <t xml:space="preserve">07:00–16:00 Warehouse</t>
        </is>
      </c>
      <c r="F33" s="17" t="inlineStr">
        <is>
          <t xml:space="preserve">Rate choice: Warehouse or Event/Venue</t>
        </is>
      </c>
      <c r="G33"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33" s="17"/>
      <c r="I33" s="18">
        <v>9</v>
      </c>
      <c r="J33" s="17"/>
      <c r="K33" s="17" t="inlineStr">
        <is>
          <t xml:space="preserve">approve original</t>
        </is>
      </c>
      <c r="L33" s="17" t="inlineStr">
        <is>
          <t xml:space="preserve">Bernie Burness</t>
        </is>
      </c>
      <c r="M33" s="17" t="inlineStr">
        <is>
          <t xml:space="preserve">2026-09-23 09:02:31</t>
        </is>
      </c>
      <c r="N33" s="17" t="inlineStr">
        <is>
          <t xml:space="preserve">Warehouse rate chosen — shift #9783 R750,00 → R690,63 (Warehouse: 9 h − 0.5 h staff meeting 07:00–07:30 (unpaid, R40,63) = 8.5 h × R81,25)</t>
        </is>
      </c>
    </row>
    <row r="34">
      <c r="A34" s="17" t="inlineStr">
        <is>
          <t xml:space="preserve">RESOLVED</t>
        </is>
      </c>
      <c r="B34" s="17">
        <v>10092</v>
      </c>
      <c r="C34" s="17" t="inlineStr">
        <is>
          <t xml:space="preserve">John Simbarashe Mhlanga</t>
        </is>
      </c>
      <c r="D34" s="17" t="inlineStr">
        <is>
          <t xml:space="preserve">2026-09-24</t>
        </is>
      </c>
      <c r="E34" s="17" t="inlineStr">
        <is>
          <t xml:space="preserve">07:00–12:00 Warehouse</t>
        </is>
      </c>
      <c r="F34" s="17" t="inlineStr">
        <is>
          <t xml:space="preserve">Rate choice: Warehouse or Event/Venue</t>
        </is>
      </c>
      <c r="G34"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34" s="17"/>
      <c r="I34" s="18">
        <v>5</v>
      </c>
      <c r="J34" s="17"/>
      <c r="K34" s="17" t="inlineStr">
        <is>
          <t xml:space="preserve">approve original</t>
        </is>
      </c>
      <c r="L34" s="17" t="inlineStr">
        <is>
          <t xml:space="preserve">Bernie Burness</t>
        </is>
      </c>
      <c r="M34" s="17" t="inlineStr">
        <is>
          <t xml:space="preserve">2026-09-23 09:02:56</t>
        </is>
      </c>
      <c r="N34" s="17" t="inlineStr">
        <is>
          <t xml:space="preserve">Warehouse rate chosen — shift #9846 R900,00 → R0,00 (PUBLIC HOLIDAY — HELD for owner approval — recommended Warehouse public holiday (Heritage Day): 5 h × R162,50 (R81,25 × 2, no meeting deduction) = R812,50; R0 until approved)</t>
        </is>
      </c>
    </row>
    <row r="35">
      <c r="A35" s="17" t="inlineStr">
        <is>
          <t xml:space="preserve">RESOLVED</t>
        </is>
      </c>
      <c r="B35" s="17">
        <v>10095</v>
      </c>
      <c r="C35" s="17" t="inlineStr">
        <is>
          <t xml:space="preserve">John Simbarashe Mhlanga</t>
        </is>
      </c>
      <c r="D35" s="17" t="inlineStr">
        <is>
          <t xml:space="preserve">2026-09-24</t>
        </is>
      </c>
      <c r="E35" s="17" t="inlineStr">
        <is>
          <t xml:space="preserve">12:00–18:00 Music Bus</t>
        </is>
      </c>
      <c r="F35" s="17" t="inlineStr">
        <is>
          <t xml:space="preserve">Public holiday (Heritage Day) — owner to approve or decline</t>
        </is>
      </c>
      <c r="G35" s="17" t="inlineStr">
        <is>
          <t xml:space="preserve">PUBLIC HOLIDAY — OWNER APPROVAL NEEDED: John Simbarashe Mhlanga worked 12:00–18:00 on 2026-09-24 (Heritage Day) at Music Bus (Music Bus). Public-holiday work is not paid automatically. Recommended: Music Bus public holiday (Heritage Day): R750 fixed 07–16 + 2 h outside 07–16 × R180 = R1 110,00. R0 is paid until the owner approves or declines.</t>
        </is>
      </c>
      <c r="H35" s="17"/>
      <c r="I35" s="18">
        <v>6</v>
      </c>
      <c r="J35" s="18">
        <v>6</v>
      </c>
      <c r="K35" s="17" t="inlineStr">
        <is>
          <t xml:space="preserve">approve adjusted</t>
        </is>
      </c>
      <c r="L35" s="17" t="inlineStr">
        <is>
          <t xml:space="preserve">Bernie Burness</t>
        </is>
      </c>
      <c r="M35" s="17" t="inlineStr">
        <is>
          <t xml:space="preserve">2026-09-23 09:05:05</t>
        </is>
      </c>
      <c r="N35" s="17" t="inlineStr">
        <is>
          <t xml:space="preserve">Public holiday (Heritage Day) approved — R1 110,00 (as recommended)</t>
        </is>
      </c>
    </row>
    <row r="36">
      <c r="A36" s="17" t="inlineStr">
        <is>
          <t xml:space="preserve">RESOLVED</t>
        </is>
      </c>
      <c r="B36" s="17">
        <v>10144</v>
      </c>
      <c r="C36" s="17" t="inlineStr">
        <is>
          <t xml:space="preserve">John Simbarashe Mhlanga</t>
        </is>
      </c>
      <c r="D36" s="17" t="inlineStr">
        <is>
          <t xml:space="preserve">2026-09-24</t>
        </is>
      </c>
      <c r="E36" s="17" t="inlineStr">
        <is>
          <t xml:space="preserve">07:00–12:00 Warehouse</t>
        </is>
      </c>
      <c r="F36" s="17" t="inlineStr">
        <is>
          <t xml:space="preserve">Public holiday (Heritage Day) — owner to approve or decline</t>
        </is>
      </c>
      <c r="G36" s="17" t="inlineStr">
        <is>
          <t xml:space="preserve">PUBLIC HOLIDAY — Heritage Day (24 Sep 2026): John Simbarashe Mhlanga worked 07:00–12:00. Held for owner approval.</t>
        </is>
      </c>
      <c r="H36" s="17"/>
      <c r="I36" s="18">
        <v>5</v>
      </c>
      <c r="J36" s="18">
        <v>4.5</v>
      </c>
      <c r="K36" s="17" t="inlineStr">
        <is>
          <t xml:space="preserve">approve original</t>
        </is>
      </c>
      <c r="L36" s="17" t="inlineStr">
        <is>
          <t xml:space="preserve">Bernie Burness</t>
        </is>
      </c>
      <c r="M36" s="17" t="inlineStr">
        <is>
          <t xml:space="preserve">2026-09-23 10:31:24</t>
        </is>
      </c>
      <c r="N36" s="17" t="inlineStr">
        <is>
          <t xml:space="preserve">Public holiday (Heritage Day) approved by Bernie Burness 23 Sep at the holiday rate: Warehouse public holiday (Heritage Day): 5 h − 0.5 h staff meeting 07:00–07:30 (unpaid) = 4.5 h × R162,50 (R81,25 × 2) = R731,25</t>
        </is>
      </c>
    </row>
    <row r="37">
      <c r="A37" s="17" t="inlineStr">
        <is>
          <t xml:space="preserve">RESOLVED</t>
        </is>
      </c>
      <c r="B37" s="17">
        <v>10098</v>
      </c>
      <c r="C37" s="17" t="inlineStr">
        <is>
          <t xml:space="preserve">John Simbarashe Mhlanga</t>
        </is>
      </c>
      <c r="D37" s="17" t="inlineStr">
        <is>
          <t xml:space="preserve">2026-09-25</t>
        </is>
      </c>
      <c r="E37" s="17" t="inlineStr">
        <is>
          <t xml:space="preserve">07:00–11:00 Warehouse</t>
        </is>
      </c>
      <c r="F37" s="17" t="inlineStr">
        <is>
          <t xml:space="preserve">Rate choice: Warehouse or Event/Venue</t>
        </is>
      </c>
      <c r="G37"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37" s="17"/>
      <c r="I37" s="18">
        <v>4</v>
      </c>
      <c r="J37" s="17"/>
      <c r="K37" s="17" t="inlineStr">
        <is>
          <t xml:space="preserve">approve original</t>
        </is>
      </c>
      <c r="L37" s="17" t="inlineStr">
        <is>
          <t xml:space="preserve">Bernie Burness</t>
        </is>
      </c>
      <c r="M37" s="17" t="inlineStr">
        <is>
          <t xml:space="preserve">2026-09-23 09:03:07</t>
        </is>
      </c>
      <c r="N37" s="17" t="inlineStr">
        <is>
          <t xml:space="preserve">Warehouse rate chosen — shift #9848 R750,00 → R284,38 (Warehouse: 4 h − 0.5 h staff meeting 07:00–07:30 (unpaid, R40,63) = 3.5 h × R81,25)</t>
        </is>
      </c>
    </row>
    <row r="38">
      <c r="A38" s="20" t="inlineStr">
        <is>
          <t xml:space="preserve">RESOLVED</t>
        </is>
      </c>
      <c r="B38" s="20">
        <v>10109</v>
      </c>
      <c r="C38" s="20" t="inlineStr">
        <is>
          <t xml:space="preserve">Joshua Motsamai Nteo</t>
        </is>
      </c>
      <c r="D38" s="20" t="inlineStr">
        <is>
          <t xml:space="preserve">2026-09-13</t>
        </is>
      </c>
      <c r="E38" s="20" t="inlineStr">
        <is>
          <t xml:space="preserve">07:00–13:00 Pastdal pretoria</t>
        </is>
      </c>
      <c r="F38" s="20" t="inlineStr">
        <is>
          <t xml:space="preserve">Manual overlap review</t>
        </is>
      </c>
      <c r="G38" s="20" t="inlineStr">
        <is>
          <t xml:space="preserve">the same employee has another overlapping entry on 2026-09-13 for 07:00-13:00.</t>
        </is>
      </c>
      <c r="H38" s="20"/>
      <c r="I38" s="21">
        <v>6</v>
      </c>
      <c r="J38" s="21">
        <v>0</v>
      </c>
      <c r="K38" s="20" t="inlineStr">
        <is>
          <t xml:space="preserve">already paid r0</t>
        </is>
      </c>
      <c r="L38" s="20" t="inlineStr">
        <is>
          <t xml:space="preserve">Bernie Burness</t>
        </is>
      </c>
      <c r="M38" s="20" t="inlineStr">
        <is>
          <t xml:space="preserve">2026-09-23 09:08:42</t>
        </is>
      </c>
      <c r="N38" s="20" t="inlineStr">
        <is>
          <t xml:space="preserve">ALREADY BILLED Sunday 2026-09-13 · 07:00–13:00 · 6.00 h Normal · Pastdal pub · Strikedown R720,00 · shift #9638 · PAID in payroll 2026-09-12 → 2026-09-18 (closed)</t>
        </is>
      </c>
    </row>
    <row r="39">
      <c r="A39" s="20" t="inlineStr">
        <is>
          <t xml:space="preserve">RESOLVED</t>
        </is>
      </c>
      <c r="B39" s="20">
        <v>10113</v>
      </c>
      <c r="C39" s="20" t="inlineStr">
        <is>
          <t xml:space="preserve">Joshua Motsamai Nteo</t>
        </is>
      </c>
      <c r="D39" s="20" t="inlineStr">
        <is>
          <t xml:space="preserve">2026-09-13</t>
        </is>
      </c>
      <c r="E39" s="20" t="inlineStr">
        <is>
          <t xml:space="preserve">07:00–13:00 Pastdal pretoria</t>
        </is>
      </c>
      <c r="F39" s="20" t="inlineStr">
        <is>
          <t xml:space="preserve">ALREADY PAID — this claim is covered by what was paid</t>
        </is>
      </c>
      <c r="G39" s="20" t="inlineStr">
        <is>
          <t xml:space="preserve">Joshua was paid Sun 13 Sep 2026 07:00–13:00 · Pastdal pub (Pretoria) · Normal · "Strikedown" · 6.00 h × R120,00 = R720,00 (payroll 2026-09-12). He now claims 07:00–13:00 · Pastdal pretoria (Pretoria) · Normal · "Break down" · 6.00 h for the same day. Same work type, but the rate paid (R120,00/h) differs from the rule (R114,00/h). • Rate correction on the paid hours 07:00–13:00: 6.00 h — worth R684,00 at the correct rule, R720,00 was paid → −R36,00 What was paid (R720,00) already covers this claim (R684,00 at the correct rule). Nothing more is due: R0,00. Hours from Wednesday onwards are estimated for the auditor run; this entry corrects them. Bernie to approve — nothing has been changed.</t>
        </is>
      </c>
      <c r="H39" s="21">
        <v>0</v>
      </c>
      <c r="I39" s="21">
        <v>6</v>
      </c>
      <c r="J39" s="21">
        <v>0</v>
      </c>
      <c r="K39" s="20" t="inlineStr">
        <is>
          <t xml:space="preserve">already paid r0</t>
        </is>
      </c>
      <c r="L39" s="20" t="inlineStr">
        <is>
          <t xml:space="preserve">Bernie Burness</t>
        </is>
      </c>
      <c r="M39" s="20" t="inlineStr">
        <is>
          <t xml:space="preserve">2026-09-23 09:21:54</t>
        </is>
      </c>
      <c r="N39" s="20" t="inlineStr">
        <is>
          <t xml:space="preserve">Already paid — this claim is covered by what was paid — R0,00 still due — approved amount R0,00</t>
        </is>
      </c>
    </row>
    <row r="40">
      <c r="A40" s="20" t="inlineStr">
        <is>
          <t xml:space="preserve">RESOLVED</t>
        </is>
      </c>
      <c r="B40" s="20">
        <v>9959</v>
      </c>
      <c r="C40" s="20" t="inlineStr">
        <is>
          <t xml:space="preserve">Joshua Motsamai Nteo</t>
        </is>
      </c>
      <c r="D40" s="20" t="inlineStr">
        <is>
          <t xml:space="preserve">2026-09-22</t>
        </is>
      </c>
      <c r="E40" s="20" t="inlineStr">
        <is>
          <t xml:space="preserve">07:00–16:00 Warehouse</t>
        </is>
      </c>
      <c r="F40" s="20" t="inlineStr">
        <is>
          <t xml:space="preserve">Rate choice: Warehouse or Event/Venue</t>
        </is>
      </c>
      <c r="G40" s="20"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40" s="20"/>
      <c r="I40" s="21">
        <v>9</v>
      </c>
      <c r="J40" s="20"/>
      <c r="K40" s="20" t="inlineStr">
        <is>
          <t xml:space="preserve">approve original</t>
        </is>
      </c>
      <c r="L40" s="20" t="inlineStr">
        <is>
          <t xml:space="preserve">Bernie Burness</t>
        </is>
      </c>
      <c r="M40" s="20" t="inlineStr">
        <is>
          <t xml:space="preserve">2026-09-23 09:09:09</t>
        </is>
      </c>
      <c r="N40" s="20" t="inlineStr">
        <is>
          <t xml:space="preserve">Warehouse rate chosen — shift #9774 R750,00 → R690,63 (Warehouse: 9 h − 0.5 h staff meeting 07:00–07:30 (unpaid, R40,63) = 8.5 h × R81,25)</t>
        </is>
      </c>
    </row>
    <row r="41">
      <c r="A41" s="20" t="inlineStr">
        <is>
          <t xml:space="preserve">RESOLVED</t>
        </is>
      </c>
      <c r="B41" s="20">
        <v>9964</v>
      </c>
      <c r="C41" s="20" t="inlineStr">
        <is>
          <t xml:space="preserve">Joshua Motsamai Nteo</t>
        </is>
      </c>
      <c r="D41" s="20" t="inlineStr">
        <is>
          <t xml:space="preserve">2026-09-23</t>
        </is>
      </c>
      <c r="E41" s="20" t="inlineStr">
        <is>
          <t xml:space="preserve">07:00–16:00 Warehouse</t>
        </is>
      </c>
      <c r="F41" s="20" t="inlineStr">
        <is>
          <t xml:space="preserve">Rate choice: Warehouse or Event/Venue</t>
        </is>
      </c>
      <c r="G41" s="20"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41" s="20"/>
      <c r="I41" s="21">
        <v>9</v>
      </c>
      <c r="J41" s="20"/>
      <c r="K41" s="20" t="inlineStr">
        <is>
          <t xml:space="preserve">approve original</t>
        </is>
      </c>
      <c r="L41" s="20" t="inlineStr">
        <is>
          <t xml:space="preserve">Bernie Burness</t>
        </is>
      </c>
      <c r="M41" s="20" t="inlineStr">
        <is>
          <t xml:space="preserve">2026-09-23 09:09:11</t>
        </is>
      </c>
      <c r="N41" s="20" t="inlineStr">
        <is>
          <t xml:space="preserve">Warehouse rate chosen — shift #9778 R750,00 → R690,63 (Warehouse: 9 h − 0.5 h staff meeting 07:00–07:30 (unpaid, R40,63) = 8.5 h × R81,25)</t>
        </is>
      </c>
    </row>
    <row r="42">
      <c r="A42" s="20" t="inlineStr">
        <is>
          <t xml:space="preserve">RESOLVED</t>
        </is>
      </c>
      <c r="B42" s="20">
        <v>10110</v>
      </c>
      <c r="C42" s="20" t="inlineStr">
        <is>
          <t xml:space="preserve">Joshua Motsamai Nteo</t>
        </is>
      </c>
      <c r="D42" s="20" t="inlineStr">
        <is>
          <t xml:space="preserve">2026-09-23</t>
        </is>
      </c>
      <c r="E42" s="20" t="inlineStr">
        <is>
          <t xml:space="preserve">07:00–16:00 Warehouse</t>
        </is>
      </c>
      <c r="F42" s="20" t="inlineStr">
        <is>
          <t xml:space="preserve">Manual overlap review</t>
        </is>
      </c>
      <c r="G42" s="20" t="inlineStr">
        <is>
          <t xml:space="preserve">the same employee has another overlapping entry on 2026-09-23 for 07:00-16:00.</t>
        </is>
      </c>
      <c r="H42" s="20"/>
      <c r="I42" s="21">
        <v>9</v>
      </c>
      <c r="J42" s="21">
        <v>0</v>
      </c>
      <c r="K42" s="20" t="inlineStr">
        <is>
          <t xml:space="preserve">already paid r0</t>
        </is>
      </c>
      <c r="L42" s="20" t="inlineStr">
        <is>
          <t xml:space="preserve">Bernie Burness</t>
        </is>
      </c>
      <c r="M42" s="20" t="inlineStr">
        <is>
          <t xml:space="preserve">2026-09-23 09:20:39</t>
        </is>
      </c>
      <c r="N42" s="20" t="inlineStr">
        <is>
          <t xml:space="preserve">already billed</t>
        </is>
      </c>
    </row>
    <row r="43">
      <c r="A43" s="20" t="inlineStr">
        <is>
          <t xml:space="preserve">RESOLVED</t>
        </is>
      </c>
      <c r="B43" s="20">
        <v>10111</v>
      </c>
      <c r="C43" s="20" t="inlineStr">
        <is>
          <t xml:space="preserve">Joshua Motsamai Nteo</t>
        </is>
      </c>
      <c r="D43" s="20" t="inlineStr">
        <is>
          <t xml:space="preserve">2026-09-23</t>
        </is>
      </c>
      <c r="E43" s="20" t="inlineStr">
        <is>
          <t xml:space="preserve">07:00–16:00 Warehouse</t>
        </is>
      </c>
      <c r="F43" s="20" t="inlineStr">
        <is>
          <t xml:space="preserve">Rate choice: Warehouse or Event/Venue</t>
        </is>
      </c>
      <c r="G43" s="20"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43" s="20"/>
      <c r="I43" s="21">
        <v>9</v>
      </c>
      <c r="J43" s="20"/>
      <c r="K43" s="20" t="inlineStr">
        <is>
          <t xml:space="preserve">approve original</t>
        </is>
      </c>
      <c r="L43" s="20" t="inlineStr">
        <is>
          <t xml:space="preserve">Bernie Burness</t>
        </is>
      </c>
      <c r="M43" s="20" t="inlineStr">
        <is>
          <t xml:space="preserve">2026-09-23 09:22:36</t>
        </is>
      </c>
      <c r="N43" s="20" t="inlineStr">
        <is>
          <t xml:space="preserve">Warehouse rate chosen — shift #9853 R750,00 → R690,63 (Warehouse: 9 h − 0.5 h staff meeting 07:00–07:30 (unpaid, R40,63) = 8.5 h × R81,25)</t>
        </is>
      </c>
    </row>
    <row r="44">
      <c r="A44" s="20" t="inlineStr">
        <is>
          <t xml:space="preserve">RESOLVED</t>
        </is>
      </c>
      <c r="B44" s="20">
        <v>9977</v>
      </c>
      <c r="C44" s="20" t="inlineStr">
        <is>
          <t xml:space="preserve">Joshua Motsamai Nteo</t>
        </is>
      </c>
      <c r="D44" s="20" t="inlineStr">
        <is>
          <t xml:space="preserve">2026-09-24</t>
        </is>
      </c>
      <c r="E44" s="20" t="inlineStr">
        <is>
          <t xml:space="preserve">07:00–15:00 Warehouse</t>
        </is>
      </c>
      <c r="F44" s="20" t="inlineStr">
        <is>
          <t xml:space="preserve">Rate choice: Warehouse or Event/Venue</t>
        </is>
      </c>
      <c r="G44" s="20"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44" s="20"/>
      <c r="I44" s="21">
        <v>8</v>
      </c>
      <c r="J44" s="20"/>
      <c r="K44" s="20" t="inlineStr">
        <is>
          <t xml:space="preserve">approve original</t>
        </is>
      </c>
      <c r="L44" s="20" t="inlineStr">
        <is>
          <t xml:space="preserve">Bernie Burness</t>
        </is>
      </c>
      <c r="M44" s="20" t="inlineStr">
        <is>
          <t xml:space="preserve">2026-09-23 09:21:05</t>
        </is>
      </c>
      <c r="N44" s="20" t="inlineStr">
        <is>
          <t xml:space="preserve">Warehouse rate chosen — shift #9780 R1 620,00 → R0,00 (PUBLIC HOLIDAY — HELD for owner approval — recommended Warehouse public holiday (Heritage Day): 9 h × R162,50 (R81,25 × 2, no meeting deduction) = R1 462,50; R0 until approved)</t>
        </is>
      </c>
    </row>
    <row r="45">
      <c r="A45" s="20" t="inlineStr">
        <is>
          <t xml:space="preserve">RESOLVED</t>
        </is>
      </c>
      <c r="B45" s="20">
        <v>10135</v>
      </c>
      <c r="C45" s="20" t="inlineStr">
        <is>
          <t xml:space="preserve">Joshua Motsamai Nteo</t>
        </is>
      </c>
      <c r="D45" s="20" t="inlineStr">
        <is>
          <t xml:space="preserve">2026-09-24</t>
        </is>
      </c>
      <c r="E45" s="20" t="inlineStr">
        <is>
          <t xml:space="preserve">07:00–15:00 Warehouse</t>
        </is>
      </c>
      <c r="F45" s="20" t="inlineStr">
        <is>
          <t xml:space="preserve">Public holiday (Heritage Day) — owner to approve or decline</t>
        </is>
      </c>
      <c r="G45" s="20" t="inlineStr">
        <is>
          <t xml:space="preserve">PUBLIC HOLIDAY — Heritage Day (24 Sep 2026): Joshua Motsamai Nteo worked 07:00–16:00 at Warehouse (Meyerton), Cleaning warehouse. Held for owner approval.</t>
        </is>
      </c>
      <c r="H45" s="20"/>
      <c r="I45" s="21">
        <v>8</v>
      </c>
      <c r="J45" s="21">
        <v>7.5</v>
      </c>
      <c r="K45" s="20" t="inlineStr">
        <is>
          <t xml:space="preserve">approve adjusted</t>
        </is>
      </c>
      <c r="L45" s="20" t="inlineStr">
        <is>
          <t xml:space="preserve">Bernie Burness</t>
        </is>
      </c>
      <c r="M45" s="20" t="inlineStr">
        <is>
          <t xml:space="preserve">2026-09-23 10:29:15</t>
        </is>
      </c>
      <c r="N45" s="20" t="inlineStr">
        <is>
          <t xml:space="preserve">Public holiday (Heritage Day) approved by Bernie Burness 23 Sep — hours set to 07:00–15:00 (no set-ups): Warehouse public holiday (Heritage Day), owner set hours 07:00–15:00: 8.0 h − 0.5 h staff meeting 07:00–07:30 (unpaid) = 7.5 h × R162,50 (R81,25 × 2) = R1218.75</t>
        </is>
      </c>
    </row>
    <row r="46">
      <c r="A46" s="23" t="inlineStr">
        <is>
          <t xml:space="preserve">RESOLVED</t>
        </is>
      </c>
      <c r="B46" s="23">
        <v>10149</v>
      </c>
      <c r="C46" s="23" t="inlineStr">
        <is>
          <t xml:space="preserve">Lebo Lebo</t>
        </is>
      </c>
      <c r="D46" s="23" t="inlineStr">
        <is>
          <t xml:space="preserve">2026-09-24</t>
        </is>
      </c>
      <c r="E46" s="23" t="inlineStr">
        <is>
          <t xml:space="preserve">07:00–13:25 Warehouse</t>
        </is>
      </c>
      <c r="F46" s="23" t="inlineStr">
        <is>
          <t xml:space="preserve">Rate choice: Warehouse or Event/Venue</t>
        </is>
      </c>
      <c r="G46" s="23"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46" s="23"/>
      <c r="I46" s="24">
        <v>6.42</v>
      </c>
      <c r="J46" s="23"/>
      <c r="K46" s="23" t="inlineStr">
        <is>
          <t xml:space="preserve">approve original</t>
        </is>
      </c>
      <c r="L46" s="23" t="inlineStr">
        <is>
          <t xml:space="preserve">Bernie Burness</t>
        </is>
      </c>
      <c r="M46" s="23" t="inlineStr">
        <is>
          <t xml:space="preserve">2026-09-25 07:18:01</t>
        </is>
      </c>
      <c r="N46" s="23" t="inlineStr">
        <is>
          <t xml:space="preserve">Event/Venue rate chosen — shift #9861 R802,50 → R0,00 (PUBLIC HOLIDAY — HELD for owner approval — recommended Venue/event public holiday (Heritage Day): 6.42 h × R190 (R95 × 2) = R1 219,17; R0 until approved)</t>
        </is>
      </c>
    </row>
    <row r="47">
      <c r="A47" s="26" t="inlineStr">
        <is>
          <t xml:space="preserve">RESOLVED</t>
        </is>
      </c>
      <c r="B47" s="26">
        <v>9954</v>
      </c>
      <c r="C47" s="26" t="inlineStr">
        <is>
          <t xml:space="preserve">Patrick Ngozo</t>
        </is>
      </c>
      <c r="D47" s="26" t="inlineStr">
        <is>
          <t xml:space="preserve">2026-09-22</t>
        </is>
      </c>
      <c r="E47" s="26" t="inlineStr">
        <is>
          <t xml:space="preserve">06:30–16:00 Wearhouse</t>
        </is>
      </c>
      <c r="F47" s="26" t="inlineStr">
        <is>
          <t xml:space="preserve">Rate choice: Warehouse or Venue/Event</t>
        </is>
      </c>
      <c r="G47" s="26" t="inlineStr">
        <is>
          <t xml:space="preserve">The wording says Wearhouse — Loading but the work type is Normal. Choose Warehouse (R81,25/h, 9.5 h less 0.5 h staff meeting = R731,25) or Venue/Event (R95/h = R902,50). The shift stays at R795 until you choose.</t>
        </is>
      </c>
      <c r="H47" s="26"/>
      <c r="I47" s="27">
        <v>9.5</v>
      </c>
      <c r="J47" s="26"/>
      <c r="K47" s="26" t="inlineStr">
        <is>
          <t xml:space="preserve">approve original</t>
        </is>
      </c>
      <c r="L47" s="26" t="inlineStr">
        <is>
          <t xml:space="preserve">Bernie Burness</t>
        </is>
      </c>
      <c r="M47" s="26" t="inlineStr">
        <is>
          <t xml:space="preserve">2026-09-22 12:28:15</t>
        </is>
      </c>
      <c r="N47" s="26" t="inlineStr">
        <is>
          <t xml:space="preserve">Warehouse rate chosen — shift #9773 R795,00 → R731,25 (Warehouse: 9.5 h − 0.5 h staff meeting 07:00–07:30 (unpaid, R40,63) = 9 h × R81,25)</t>
        </is>
      </c>
    </row>
    <row r="48">
      <c r="A48" s="26" t="inlineStr">
        <is>
          <t xml:space="preserve">RESOLVED</t>
        </is>
      </c>
      <c r="B48" s="26">
        <v>10143</v>
      </c>
      <c r="C48" s="26" t="inlineStr">
        <is>
          <t xml:space="preserve">Patrick Ngozo</t>
        </is>
      </c>
      <c r="D48" s="26" t="inlineStr">
        <is>
          <t xml:space="preserve">2026-09-24</t>
        </is>
      </c>
      <c r="E48" s="26" t="inlineStr">
        <is>
          <t xml:space="preserve">06:30–15:00 Wearhouse</t>
        </is>
      </c>
      <c r="F48" s="26" t="inlineStr">
        <is>
          <t xml:space="preserve">Public holiday (Heritage Day) — owner to approve or decline</t>
        </is>
      </c>
      <c r="G48" s="26" t="inlineStr">
        <is>
          <t xml:space="preserve">PUBLIC HOLIDAY — Heritage Day (24 Sep 2026): Patrick Ngozo worked 06:30–15:00. Held for owner approval.</t>
        </is>
      </c>
      <c r="H48" s="26"/>
      <c r="I48" s="27">
        <v>8.5</v>
      </c>
      <c r="J48" s="27">
        <v>8</v>
      </c>
      <c r="K48" s="26" t="inlineStr">
        <is>
          <t xml:space="preserve">approve original</t>
        </is>
      </c>
      <c r="L48" s="26" t="inlineStr">
        <is>
          <t xml:space="preserve">Bernie Burness</t>
        </is>
      </c>
      <c r="M48" s="26" t="inlineStr">
        <is>
          <t xml:space="preserve">2026-09-23 10:30:29</t>
        </is>
      </c>
      <c r="N48" s="26" t="inlineStr">
        <is>
          <t xml:space="preserve">Public holiday (Heritage Day) approved by Bernie Burness 23 Sep at the holiday rate: Warehouse public holiday (Heritage Day), owner set hours 06:30–15:00: 8.5 h − 0.5 h staff meeting = 8 h × R162,50 = R1 300,00</t>
        </is>
      </c>
    </row>
    <row r="49">
      <c r="A49" s="29" t="inlineStr">
        <is>
          <t xml:space="preserve">RESOLVED</t>
        </is>
      </c>
      <c r="B49" s="29">
        <v>10063</v>
      </c>
      <c r="C49" s="29" t="inlineStr">
        <is>
          <t xml:space="preserve">Solomon Moyo</t>
        </is>
      </c>
      <c r="D49" s="29" t="inlineStr">
        <is>
          <t xml:space="preserve">2026-09-22</t>
        </is>
      </c>
      <c r="E49" s="29" t="inlineStr">
        <is>
          <t xml:space="preserve">07:00–16:00 Warehouse</t>
        </is>
      </c>
      <c r="F49" s="29" t="inlineStr">
        <is>
          <t xml:space="preserve">Rate choice: Warehouse or Event/Venue</t>
        </is>
      </c>
      <c r="G49" s="29"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49" s="29"/>
      <c r="I49" s="30">
        <v>9</v>
      </c>
      <c r="J49" s="29"/>
      <c r="K49" s="29" t="inlineStr">
        <is>
          <t xml:space="preserve">approve original</t>
        </is>
      </c>
      <c r="L49" s="29" t="inlineStr">
        <is>
          <t xml:space="preserve">Bernie Burness</t>
        </is>
      </c>
      <c r="M49" s="29" t="inlineStr">
        <is>
          <t xml:space="preserve">2026-09-23 10:48:16</t>
        </is>
      </c>
      <c r="N49" s="29" t="inlineStr">
        <is>
          <t xml:space="preserve">Warehouse rate chosen — shift #9835 R750,00 → R690,63 (Warehouse: 9 h − 0.5 h staff meeting 07:00–07:30 (unpaid, R40,63) = 8.5 h × R81,25)</t>
        </is>
      </c>
    </row>
    <row r="50">
      <c r="A50" s="29" t="inlineStr">
        <is>
          <t xml:space="preserve">RESOLVED</t>
        </is>
      </c>
      <c r="B50" s="29">
        <v>10060</v>
      </c>
      <c r="C50" s="29" t="inlineStr">
        <is>
          <t xml:space="preserve">Solomon Moyo</t>
        </is>
      </c>
      <c r="D50" s="29" t="inlineStr">
        <is>
          <t xml:space="preserve">2026-09-24</t>
        </is>
      </c>
      <c r="E50" s="29" t="inlineStr">
        <is>
          <t xml:space="preserve">07:00–15:00 Warehouse</t>
        </is>
      </c>
      <c r="F50" s="29" t="inlineStr">
        <is>
          <t xml:space="preserve">Public holiday (Heritage Day) — owner to approve or decline</t>
        </is>
      </c>
      <c r="G50" s="29" t="inlineStr">
        <is>
          <t xml:space="preserve">PUBLIC HOLIDAY — OWNER APPROVAL NEEDED: Solomon Moyo worked 07:00–16:00 on 2026-09-24 (Heritage Day) at Botanical Gardens (Normal). Public-holiday work is not paid automatically. Recommended: Venue/event public holiday (Heritage Day): 9 h × R190 (R95 × 2) = R1 710,00. R0 is paid until the owner approves or declines.</t>
        </is>
      </c>
      <c r="H50" s="29"/>
      <c r="I50" s="30">
        <v>8</v>
      </c>
      <c r="J50" s="30">
        <v>7.5</v>
      </c>
      <c r="K50" s="29" t="inlineStr">
        <is>
          <t xml:space="preserve">approve adjusted</t>
        </is>
      </c>
      <c r="L50" s="29" t="inlineStr">
        <is>
          <t xml:space="preserve">Bernie Burness</t>
        </is>
      </c>
      <c r="M50" s="29" t="inlineStr">
        <is>
          <t xml:space="preserve">2026-09-23 10:31:21</t>
        </is>
      </c>
      <c r="N50" s="29" t="inlineStr">
        <is>
          <t xml:space="preserve">Public holiday (Heritage Day) approved by Bernie Burness 23 Sep — warehouse, hours set to 07:00–15:00 (worker wrote Botanical Gardens until 16:00): Warehouse public holiday (Heritage Day), owner set hours 07:00–15:00: 8 h − 0.5 h staff meeting 07:00–07:30 (unpaid) = 7.5 h × R162,50 (R81,25 × 2) = R1 218,75</t>
        </is>
      </c>
    </row>
    <row r="51">
      <c r="A51" s="32" t="inlineStr">
        <is>
          <t xml:space="preserve">RESOLVED</t>
        </is>
      </c>
      <c r="B51" s="32">
        <v>10074</v>
      </c>
      <c r="C51" s="32" t="inlineStr">
        <is>
          <t xml:space="preserve">Takavaudza Chokuda</t>
        </is>
      </c>
      <c r="D51" s="32" t="inlineStr">
        <is>
          <t xml:space="preserve">2026-09-17</t>
        </is>
      </c>
      <c r="E51" s="32" t="inlineStr">
        <is>
          <t xml:space="preserve">16:00–18:00 FNB</t>
        </is>
      </c>
      <c r="F51" s="32" t="inlineStr">
        <is>
          <t xml:space="preserve">Warehouse claimed — but the entry names “Johannesburg”</t>
        </is>
      </c>
      <c r="G51" s="32" t="inlineStr">
        <is>
          <t xml:space="preserve">WAREHOUSE CLAIMED BUT THE ENTRY NAMES “Johannesburg”: Takavaudza Chokuda selected Warehouse Team at “FNB” for 2.00 h on Thu 17 Sep 2026, but wrote “Johannesburg” — that is a venue, not the warehouse. 6 workers were at a venue that day (Additional 5 hour shift - 17/09/2026 Parys Golf Day, Botanical garden Pretoria, FNB Stadium, Parys golf &amp; country Estate, Parys Country Club, Parys, Botanical gardens, Fnb stadium). If he was at “Johannesburg”, he is due the venue rate (R95/h); if he was really in the warehouse, R81,25/h. Choose below.</t>
        </is>
      </c>
      <c r="H51" s="32"/>
      <c r="I51" s="33">
        <v>2</v>
      </c>
      <c r="J51" s="32"/>
      <c r="K51" s="32" t="inlineStr">
        <is>
          <t xml:space="preserve">approve original</t>
        </is>
      </c>
      <c r="L51" s="32" t="inlineStr">
        <is>
          <t xml:space="preserve">Bernie Burness</t>
        </is>
      </c>
      <c r="M51" s="32" t="inlineStr">
        <is>
          <t xml:space="preserve">2026-09-23 11:01:57</t>
        </is>
      </c>
      <c r="N51" s="32" t="inlineStr">
        <is>
          <t xml:space="preserve">Event/Venue rate chosen — shift #9815 R162,50 → R190,00 (Venue/event: 2 h × R95)</t>
        </is>
      </c>
    </row>
    <row r="52">
      <c r="A52" s="32" t="inlineStr">
        <is>
          <t xml:space="preserve">RESOLVED</t>
        </is>
      </c>
      <c r="B52" s="32">
        <v>9955</v>
      </c>
      <c r="C52" s="32" t="inlineStr">
        <is>
          <t xml:space="preserve">Takavaudza Chokuda</t>
        </is>
      </c>
      <c r="D52" s="32" t="inlineStr">
        <is>
          <t xml:space="preserve">2026-09-21</t>
        </is>
      </c>
      <c r="E52" s="32" t="inlineStr">
        <is>
          <t xml:space="preserve">07:00–16:00 Warehouse</t>
        </is>
      </c>
      <c r="F52" s="32" t="inlineStr">
        <is>
          <t xml:space="preserve">Crew pattern — 8 of 9 at a venue, this one says Warehouse</t>
        </is>
      </c>
      <c r="G52" s="32" t="inlineStr">
        <is>
          <t xml:space="preserve">CREW PATTERN: 8 of 9 workers were at a venue on Mon 21 Sep 2026 (FNB Stadium, FNB strike down, Fnb stadium) — Takavaudza Chokuda says Warehouse for 9.00 h. Check he was not at the venue (R95/h would be due).</t>
        </is>
      </c>
      <c r="H52" s="32"/>
      <c r="I52" s="33">
        <v>9</v>
      </c>
      <c r="J52" s="33">
        <v>9</v>
      </c>
      <c r="K52" s="32" t="inlineStr">
        <is>
          <t xml:space="preserve">approve original</t>
        </is>
      </c>
      <c r="L52" s="32" t="inlineStr">
        <is>
          <t xml:space="preserve">Bernie Burness</t>
        </is>
      </c>
      <c r="M52" s="32" t="inlineStr">
        <is>
          <t xml:space="preserve">2026-09-23 11:01:58</t>
        </is>
      </c>
      <c r="N52" s="32" t="inlineStr">
        <is>
          <t xml:space="preserve">WAREHOUSE — R81,25/h chosen by Bernie Burness for draft #830 — will pay R690,63 when final-submitted (Warehouse: 9 h − 0.5 h staff meeting 07:00–07:30 (unpaid, R40,63) = 8.5 h × R81,25)</t>
        </is>
      </c>
    </row>
    <row r="53">
      <c r="A53" s="32" t="inlineStr">
        <is>
          <t xml:space="preserve">RESOLVED</t>
        </is>
      </c>
      <c r="B53" s="32">
        <v>10075</v>
      </c>
      <c r="C53" s="32" t="inlineStr">
        <is>
          <t xml:space="preserve">Takavaudza Chokuda</t>
        </is>
      </c>
      <c r="D53" s="32" t="inlineStr">
        <is>
          <t xml:space="preserve">2026-09-23</t>
        </is>
      </c>
      <c r="E53" s="32" t="inlineStr">
        <is>
          <t xml:space="preserve">07:00–16:00 Riverside</t>
        </is>
      </c>
      <c r="F53" s="32" t="inlineStr">
        <is>
          <t xml:space="preserve">Warehouse claimed — but the entry names “The vaal”</t>
        </is>
      </c>
      <c r="G53" s="32" t="inlineStr">
        <is>
          <t xml:space="preserve">WAREHOUSE CLAIMED BUT THE ENTRY NAMES “The vaal”: Takavaudza Chokuda selected Warehouse Team at “Riverside” for 9.00 h on Wed 23 Sep 2026, but wrote “The vaal” — that is a venue, not the warehouse. 6 workers were at a venue that day (Work with the Team, wharehouse, Set up vaal Boating, Riverside sun, Vaal Boating Season, Stone Haven And Riverside Sun). If he was at “The vaal”, he is due the venue rate (R95/h); if he was really in the warehouse, R81,25/h. Choose below.</t>
        </is>
      </c>
      <c r="H53" s="32"/>
      <c r="I53" s="33">
        <v>9</v>
      </c>
      <c r="J53" s="32"/>
      <c r="K53" s="32" t="inlineStr">
        <is>
          <t xml:space="preserve">approve original</t>
        </is>
      </c>
      <c r="L53" s="32" t="inlineStr">
        <is>
          <t xml:space="preserve">Bernie Burness</t>
        </is>
      </c>
      <c r="M53" s="32" t="inlineStr">
        <is>
          <t xml:space="preserve">2026-09-23 11:01:57</t>
        </is>
      </c>
      <c r="N53" s="32" t="inlineStr">
        <is>
          <t xml:space="preserve">Event/Venue rate chosen — shift #9819 R690,63 → R855,00 (Venue/event: 9 h × R95)</t>
        </is>
      </c>
    </row>
    <row r="54">
      <c r="A54" s="32" t="inlineStr">
        <is>
          <t xml:space="preserve">RESOLVED</t>
        </is>
      </c>
      <c r="B54" s="32">
        <v>10039</v>
      </c>
      <c r="C54" s="32" t="inlineStr">
        <is>
          <t xml:space="preserve">Takavaudza Chokuda</t>
        </is>
      </c>
      <c r="D54" s="32" t="inlineStr">
        <is>
          <t xml:space="preserve">2026-09-24</t>
        </is>
      </c>
      <c r="E54" s="32" t="inlineStr">
        <is>
          <t xml:space="preserve">07:00–15:00 Warehouse</t>
        </is>
      </c>
      <c r="F54" s="32" t="inlineStr">
        <is>
          <t xml:space="preserve">Public holiday (Heritage Day) — owner to approve or decline</t>
        </is>
      </c>
      <c r="G54" s="32" t="inlineStr">
        <is>
          <t xml:space="preserve">PUBLIC HOLIDAY — OWNER APPROVAL NEEDED: Takavaudza Chokuda worked 07:00–16:00 on 2026-09-24 (Heritage Day) at Warehouse (Warehouse Team). Public-holiday work is not paid automatically. Recommended: Warehouse public holiday (Heritage Day): 9 h × R162,50 (R81,25 × 2, no meeting deduction) = R1 462,50. R0 is paid until the owner approves or declines.</t>
        </is>
      </c>
      <c r="H54" s="32"/>
      <c r="I54" s="33">
        <v>8</v>
      </c>
      <c r="J54" s="33">
        <v>7.5</v>
      </c>
      <c r="K54" s="32" t="inlineStr">
        <is>
          <t xml:space="preserve">approve adjusted</t>
        </is>
      </c>
      <c r="L54" s="32" t="inlineStr">
        <is>
          <t xml:space="preserve">Bernie Burness</t>
        </is>
      </c>
      <c r="M54" s="32" t="inlineStr">
        <is>
          <t xml:space="preserve">2026-09-23 10:32:07</t>
        </is>
      </c>
      <c r="N54" s="32" t="inlineStr">
        <is>
          <t xml:space="preserve">Public holiday (Heritage Day) approved by Bernie Burness 23 Sep — hours set to 07:00–15:00 (no set-ups): Warehouse public holiday (Heritage Day), owner set hours 07:00–15:00: 8.0 h − 0.5 h staff meeting 07:00–07:30 (unpaid) = 7.5 h × R162,50 (R81,25 × 2) = R1218.75</t>
        </is>
      </c>
    </row>
    <row r="55">
      <c r="A55" s="32" t="inlineStr">
        <is>
          <t xml:space="preserve">RESOLVED</t>
        </is>
      </c>
      <c r="B55" s="32">
        <v>10076</v>
      </c>
      <c r="C55" s="32" t="inlineStr">
        <is>
          <t xml:space="preserve">Takavaudza Chokuda</t>
        </is>
      </c>
      <c r="D55" s="32" t="inlineStr">
        <is>
          <t xml:space="preserve">2026-09-25</t>
        </is>
      </c>
      <c r="E55" s="32" t="inlineStr">
        <is>
          <t xml:space="preserve">07:00–16:00 Warehouse</t>
        </is>
      </c>
      <c r="F55" s="32" t="inlineStr">
        <is>
          <t xml:space="preserve">Crew pattern — 7 of 8 at a venue, this one says Warehouse</t>
        </is>
      </c>
      <c r="G55" s="32" t="inlineStr">
        <is>
          <t xml:space="preserve">CREW PATTERN: 7 of 8 workers were at a venue on Fri 25 Sep 2026 (The Capital Sandton and Bonitical Emmarentia, Pretoria country club, Botanical, Vaal Boating, Riverside sun, Pretoria Country Club, Capital hotel / botanical gardens JHB) — Takavaudza Chokuda says Warehouse for 9.00 h. Check he was not at the venue (R95/h would be due).</t>
        </is>
      </c>
      <c r="H55" s="32"/>
      <c r="I55" s="33">
        <v>9</v>
      </c>
      <c r="J55" s="32"/>
      <c r="K55" s="32" t="inlineStr">
        <is>
          <t xml:space="preserve">approve original</t>
        </is>
      </c>
      <c r="L55" s="32" t="inlineStr">
        <is>
          <t xml:space="preserve">Bernie Burness</t>
        </is>
      </c>
      <c r="M55" s="32" t="inlineStr">
        <is>
          <t xml:space="preserve">2026-09-23 11:01:58</t>
        </is>
      </c>
      <c r="N55" s="32" t="inlineStr">
        <is>
          <t xml:space="preserve">Warehouse rate chosen — shift #9817 R690,63 → R690,63 (Warehouse: 9 h − 0.5 h staff meeting 07:00–07:30 (unpaid, R40,63) = 8.5 h × R81,25)</t>
        </is>
      </c>
    </row>
    <row r="56">
      <c r="A56" s="17" t="inlineStr">
        <is>
          <t xml:space="preserve">RESOLVED</t>
        </is>
      </c>
      <c r="B56" s="17">
        <v>10080</v>
      </c>
      <c r="C56" s="17" t="inlineStr">
        <is>
          <t xml:space="preserve">Thandanani Nkala</t>
        </is>
      </c>
      <c r="D56" s="17" t="inlineStr">
        <is>
          <t xml:space="preserve">2026-09-21</t>
        </is>
      </c>
      <c r="E56" s="17" t="inlineStr">
        <is>
          <t xml:space="preserve">07:00–16:00 FNB Stadium and Warehouse</t>
        </is>
      </c>
      <c r="F56" s="17" t="inlineStr">
        <is>
          <t xml:space="preserve">Rate choice: Warehouse or Event/Venue</t>
        </is>
      </c>
      <c r="G56"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56" s="17"/>
      <c r="I56" s="18">
        <v>9</v>
      </c>
      <c r="J56" s="17"/>
      <c r="K56" s="17" t="inlineStr">
        <is>
          <t xml:space="preserve">approve original</t>
        </is>
      </c>
      <c r="L56" s="17" t="inlineStr">
        <is>
          <t xml:space="preserve">Bernie Burness</t>
        </is>
      </c>
      <c r="M56" s="17" t="inlineStr">
        <is>
          <t xml:space="preserve">2026-09-23 09:24:21</t>
        </is>
      </c>
      <c r="N56" s="17" t="inlineStr">
        <is>
          <t xml:space="preserve">Event/Venue rate chosen — shift #9840 R750,00 → R855,00 (Venue/event: 9 h × R95)</t>
        </is>
      </c>
    </row>
    <row r="57">
      <c r="A57" s="17" t="inlineStr">
        <is>
          <t xml:space="preserve">RESOLVED</t>
        </is>
      </c>
      <c r="B57" s="17">
        <v>10087</v>
      </c>
      <c r="C57" s="17" t="inlineStr">
        <is>
          <t xml:space="preserve">Thandanani Nkala</t>
        </is>
      </c>
      <c r="D57" s="17" t="inlineStr">
        <is>
          <t xml:space="preserve">2026-09-22</t>
        </is>
      </c>
      <c r="E57" s="17" t="inlineStr">
        <is>
          <t xml:space="preserve">07:00–16:00 Warehouse</t>
        </is>
      </c>
      <c r="F57" s="17" t="inlineStr">
        <is>
          <t xml:space="preserve">Rate choice: Warehouse or Event/Venue</t>
        </is>
      </c>
      <c r="G57"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57" s="17"/>
      <c r="I57" s="18">
        <v>9</v>
      </c>
      <c r="J57" s="17"/>
      <c r="K57" s="17" t="inlineStr">
        <is>
          <t xml:space="preserve">approve original</t>
        </is>
      </c>
      <c r="L57" s="17" t="inlineStr">
        <is>
          <t xml:space="preserve">Bernie Burness</t>
        </is>
      </c>
      <c r="M57" s="17" t="inlineStr">
        <is>
          <t xml:space="preserve">2026-09-23 09:24:24</t>
        </is>
      </c>
      <c r="N57" s="17" t="inlineStr">
        <is>
          <t xml:space="preserve">Warehouse rate chosen — shift #9844 R750,00 → R690,63 (Warehouse: 9 h − 0.5 h staff meeting 07:00–07:30 (unpaid, R40,63) = 8.5 h × R81,25)</t>
        </is>
      </c>
    </row>
    <row r="58">
      <c r="A58" s="17" t="inlineStr">
        <is>
          <t xml:space="preserve">RESOLVED</t>
        </is>
      </c>
      <c r="B58" s="17">
        <v>10084</v>
      </c>
      <c r="C58" s="17" t="inlineStr">
        <is>
          <t xml:space="preserve">Thandanani Nkala</t>
        </is>
      </c>
      <c r="D58" s="17" t="inlineStr">
        <is>
          <t xml:space="preserve">2026-09-24</t>
        </is>
      </c>
      <c r="E58" s="17" t="inlineStr">
        <is>
          <t xml:space="preserve">07:00–15:00 Warehouse</t>
        </is>
      </c>
      <c r="F58" s="17" t="inlineStr">
        <is>
          <t xml:space="preserve">Rate choice: Warehouse or Event/Venue</t>
        </is>
      </c>
      <c r="G58"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58" s="17"/>
      <c r="I58" s="18">
        <v>8</v>
      </c>
      <c r="J58" s="17"/>
      <c r="K58" s="17" t="inlineStr">
        <is>
          <t xml:space="preserve">approve original</t>
        </is>
      </c>
      <c r="L58" s="17" t="inlineStr">
        <is>
          <t xml:space="preserve">Bernie Burness</t>
        </is>
      </c>
      <c r="M58" s="17" t="inlineStr">
        <is>
          <t xml:space="preserve">2026-09-23 09:24:33</t>
        </is>
      </c>
      <c r="N58" s="17" t="inlineStr">
        <is>
          <t xml:space="preserve">Warehouse rate chosen — shift #9842 R1 620,00 → R0,00 (PUBLIC HOLIDAY — HELD for owner approval — recommended Warehouse public holiday (Heritage Day): 9 h × R162,50 (R81,25 × 2, no meeting deduction) = R1 462,50; R0 until approved)</t>
        </is>
      </c>
    </row>
    <row r="59">
      <c r="A59" s="17" t="inlineStr">
        <is>
          <t xml:space="preserve">RESOLVED</t>
        </is>
      </c>
      <c r="B59" s="17">
        <v>10142</v>
      </c>
      <c r="C59" s="17" t="inlineStr">
        <is>
          <t xml:space="preserve">Thandanani Nkala</t>
        </is>
      </c>
      <c r="D59" s="17" t="inlineStr">
        <is>
          <t xml:space="preserve">2026-09-24</t>
        </is>
      </c>
      <c r="E59" s="17" t="inlineStr">
        <is>
          <t xml:space="preserve">07:00–15:00 Warehouse</t>
        </is>
      </c>
      <c r="F59" s="17" t="inlineStr">
        <is>
          <t xml:space="preserve">Public holiday (Heritage Day) — owner to approve or decline</t>
        </is>
      </c>
      <c r="G59" s="17" t="inlineStr">
        <is>
          <t xml:space="preserve">PUBLIC HOLIDAY — Heritage Day (24 Sep 2026): Thandanani Nkala worked 07:00–15:00. Held for owner approval.</t>
        </is>
      </c>
      <c r="H59" s="17"/>
      <c r="I59" s="18">
        <v>8</v>
      </c>
      <c r="J59" s="18">
        <v>7.5</v>
      </c>
      <c r="K59" s="17" t="inlineStr">
        <is>
          <t xml:space="preserve">approve adjusted</t>
        </is>
      </c>
      <c r="L59" s="17" t="inlineStr">
        <is>
          <t xml:space="preserve">Bernie Burness</t>
        </is>
      </c>
      <c r="M59" s="17" t="inlineStr">
        <is>
          <t xml:space="preserve">2026-09-23 10:32:12</t>
        </is>
      </c>
      <c r="N59" s="17" t="inlineStr">
        <is>
          <t xml:space="preserve">Public holiday (Heritage Day) approved by Bernie Burness 23 Sep — hours set to 07:00–15:00 (no set-ups): Warehouse public holiday (Heritage Day), owner set hours 07:00–15:00: 8.0 h − 0.5 h staff meeting 07:00–07:30 (unpaid) = 7.5 h × R162,50 (R81,25 × 2) = R1218.75</t>
        </is>
      </c>
    </row>
    <row r="60">
      <c r="A60" s="17" t="inlineStr">
        <is>
          <t xml:space="preserve">RESOLVED</t>
        </is>
      </c>
      <c r="B60" s="17">
        <v>10082</v>
      </c>
      <c r="C60" s="17" t="inlineStr">
        <is>
          <t xml:space="preserve">Thandanani Nkala</t>
        </is>
      </c>
      <c r="D60" s="17" t="inlineStr">
        <is>
          <t xml:space="preserve">2026-09-25</t>
        </is>
      </c>
      <c r="E60" s="17" t="inlineStr">
        <is>
          <t xml:space="preserve">07:00–16:00 Warehouse</t>
        </is>
      </c>
      <c r="F60" s="17" t="inlineStr">
        <is>
          <t xml:space="preserve">Rate choice: Warehouse or Event/Venue</t>
        </is>
      </c>
      <c r="G60" s="17" t="inlineStr">
        <is>
          <t xml:space="preserve">RATE CHOICE NEEDED: the wording mentions "warehouse" but the work type is Normal, so it is not clearly warehouse-only. Bernie must choose Warehouse (R81,25/h, Sunday R97,50, meeting time unpaid) or Venue/Event (R95/h, Sunday R114) before the rate is decided. Until then the shift stays at the engine amount.</t>
        </is>
      </c>
      <c r="H60" s="17"/>
      <c r="I60" s="18">
        <v>9</v>
      </c>
      <c r="J60" s="17"/>
      <c r="K60" s="17" t="inlineStr">
        <is>
          <t xml:space="preserve">approve original</t>
        </is>
      </c>
      <c r="L60" s="17" t="inlineStr">
        <is>
          <t xml:space="preserve">Bernie Burness</t>
        </is>
      </c>
      <c r="M60" s="17" t="inlineStr">
        <is>
          <t xml:space="preserve">2026-09-23 09:24:36</t>
        </is>
      </c>
      <c r="N60" s="17" t="inlineStr">
        <is>
          <t xml:space="preserve">Warehouse rate chosen — shift #9841 R750,00 → R690,63 (Warehouse: 9 h − 0.5 h staff meeting 07:00–07:30 (unpaid, R40,63) = 8.5 h × R81,25)</t>
        </is>
      </c>
    </row>
    <row r="61">
      <c r="A61" s="20" t="inlineStr">
        <is>
          <t xml:space="preserve">RESOLVED</t>
        </is>
      </c>
      <c r="B61" s="20">
        <v>10033</v>
      </c>
      <c r="C61" s="20" t="inlineStr">
        <is>
          <t xml:space="preserve">Tsotlego Petrus Malakoane</t>
        </is>
      </c>
      <c r="D61" s="20" t="inlineStr">
        <is>
          <t xml:space="preserve">2026-09-24</t>
        </is>
      </c>
      <c r="E61" s="20" t="inlineStr">
        <is>
          <t xml:space="preserve">06:30–14:00 Warehouse</t>
        </is>
      </c>
      <c r="F61" s="20" t="inlineStr">
        <is>
          <t xml:space="preserve">Public holiday (Heritage Day) — owner to approve or decline</t>
        </is>
      </c>
      <c r="G61" s="20" t="inlineStr">
        <is>
          <t xml:space="preserve">PUBLIC HOLIDAY — OWNER APPROVAL NEEDED: Tsotlego Petrus Malakoane worked 06:30–16:00 on 2026-09-24 (Heritage Day) at Warehouse (Normal). Public-holiday work is not paid automatically. Recommended: Petrus public holiday (Heritage Day): no fixed day — 9.5 h × R160 (R80 × 2) = R1 520,00. R0 is paid until the owner approves or declines.</t>
        </is>
      </c>
      <c r="H61" s="20"/>
      <c r="I61" s="21">
        <v>7.5</v>
      </c>
      <c r="J61" s="21">
        <v>7</v>
      </c>
      <c r="K61" s="20" t="inlineStr">
        <is>
          <t xml:space="preserve">approve adjusted</t>
        </is>
      </c>
      <c r="L61" s="20" t="inlineStr">
        <is>
          <t xml:space="preserve">Bernie Burness</t>
        </is>
      </c>
      <c r="M61" s="20" t="inlineStr">
        <is>
          <t xml:space="preserve">2026-09-23 11:02:04</t>
        </is>
      </c>
      <c r="N61" s="20" t="inlineStr">
        <is>
          <t xml:space="preserve">Public holiday (Heritage Day) approved by Bernie Burness 23 Sep — hours set to 06:30–14:00, meeting deducted: 7 h × R160 = R1 120,00. Owner not 100% sure of the end time — CONFIRM NEXT WEEK.</t>
        </is>
      </c>
    </row>
  </sheetData>
  <mergeCells count="2">
    <mergeCell ref="A1:N1"/>
    <mergeCell ref="A2:N2"/>
  </mergeCells>
</worksheet>
</file>

<file path=xl/worksheets/sheet5.xml><?xml version="1.0" encoding="utf-8"?>
<worksheet xmlns="http://schemas.openxmlformats.org/spreadsheetml/2006/main" xmlns:r="http://schemas.openxmlformats.org/officeDocument/2006/relationships">
  <cols>
    <col min="1" max="1" width="7" customWidth="1"/>
    <col min="2" max="2" width="26" customWidth="1"/>
    <col min="3" max="3" width="24" customWidth="1"/>
    <col min="4" max="4" width="18" customWidth="1"/>
    <col min="5" max="5" width="58" customWidth="1"/>
    <col min="6" max="6" width="14" customWidth="1"/>
    <col min="7" max="7" width="12" customWidth="1"/>
    <col min="8" max="8" width="14" customWidth="1"/>
    <col min="9" max="9" width="16" customWidth="1"/>
    <col min="10" max="10" width="12" customWidth="1"/>
    <col min="11" max="11" width="10" customWidth="1"/>
    <col min="12" max="12" width="9" customWidth="1"/>
    <col min="13" max="13" width="70" customWidth="1"/>
  </cols>
  <sheetData>
    <row r="1" ht="22" customHeight="1">
      <c r="A1" s="3" t="inlineStr">
        <is>
          <t xml:space="preserve">B&amp;W PRODUCTIONS — LOANS &amp; DEDUCTIONS</t>
        </is>
      </c>
    </row>
    <row r="2" ht="30" customHeight="1">
      <c r="A2" s="11" t="inlineStr">
        <is>
          <t xml:space="preserve">Position as at 2026-09-25. Amounts actually deducted this week are the yellow cells on Auditor Trail Linked.</t>
        </is>
      </c>
    </row>
    <row r="4" ht="30" customHeight="1">
      <c r="A4" s="1" t="inlineStr">
        <is>
          <t xml:space="preserve">FIXED WEEKLY DEDUCTIONS (active this week)</t>
        </is>
      </c>
    </row>
    <row r="5">
      <c r="A5" s="2"/>
      <c r="B5" s="2" t="inlineStr">
        <is>
          <t xml:space="preserve">Employee</t>
        </is>
      </c>
      <c r="C5" s="2" t="inlineStr">
        <is>
          <t xml:space="preserve">Type</t>
        </is>
      </c>
      <c r="D5" s="2" t="inlineStr">
        <is>
          <t xml:space="preserve">Effective from</t>
        </is>
      </c>
      <c r="E5" s="2" t="inlineStr">
        <is>
          <t xml:space="preserve">Reason</t>
        </is>
      </c>
      <c r="F5" s="2" t="inlineStr">
        <is>
          <t xml:space="preserve">Amount per week</t>
        </is>
      </c>
      <c r="G5" s="2" t="inlineStr">
        <is>
          <t xml:space="preserve">Effective to</t>
        </is>
      </c>
    </row>
    <row r="6">
      <c r="B6" s="0" t="inlineStr">
        <is>
          <t xml:space="preserve">Erick Mpho Molefe</t>
        </is>
      </c>
      <c r="C6" s="0" t="inlineStr">
        <is>
          <t xml:space="preserve">Car Payment</t>
        </is>
      </c>
      <c r="D6" s="0" t="inlineStr">
        <is>
          <t xml:space="preserve">2026-08-01</t>
        </is>
      </c>
      <c r="E6" s="0" t="inlineStr">
        <is>
          <t xml:space="preserve">Car Payments</t>
        </is>
      </c>
      <c r="F6" s="4">
        <v>1000</v>
      </c>
      <c r="G6" s="0" t="inlineStr">
        <is>
          <t xml:space="preserve">ongoing</t>
        </is>
      </c>
    </row>
    <row r="7">
      <c r="B7" s="0" t="inlineStr">
        <is>
          <t xml:space="preserve">Isaac Mbele</t>
        </is>
      </c>
      <c r="C7" s="0" t="inlineStr">
        <is>
          <t xml:space="preserve">Eggs</t>
        </is>
      </c>
      <c r="D7" s="0" t="inlineStr">
        <is>
          <t xml:space="preserve">2026-08-01</t>
        </is>
      </c>
      <c r="E7" s="0" t="inlineStr">
        <is>
          <t xml:space="preserve">Eggs</t>
        </is>
      </c>
      <c r="F7" s="4">
        <v>260</v>
      </c>
      <c r="G7" s="0" t="inlineStr">
        <is>
          <t xml:space="preserve">ongoing</t>
        </is>
      </c>
    </row>
    <row r="9">
      <c r="A9" s="1" t="inlineStr">
        <is>
          <t xml:space="preserve">ADDITIONAL LOANS</t>
        </is>
      </c>
    </row>
    <row r="10">
      <c r="A10" s="2" t="inlineStr">
        <is>
          <t xml:space="preserve">Loan #</t>
        </is>
      </c>
      <c r="B10" s="2" t="inlineStr">
        <is>
          <t xml:space="preserve">Employee</t>
        </is>
      </c>
      <c r="C10" s="2" t="inlineStr">
        <is>
          <t xml:space="preserve">Date given</t>
        </is>
      </c>
      <c r="D10" s="2" t="inlineStr">
        <is>
          <t xml:space="preserve">Deductions from</t>
        </is>
      </c>
      <c r="E10" s="2" t="inlineStr">
        <is>
          <t xml:space="preserve">Reason</t>
        </is>
      </c>
      <c r="F10" s="2" t="inlineStr">
        <is>
          <t xml:space="preserve">Original amount</t>
        </is>
      </c>
      <c r="G10" s="2" t="inlineStr">
        <is>
          <t xml:space="preserve">Instalment</t>
        </is>
      </c>
      <c r="H10" s="2" t="inlineStr">
        <is>
          <t xml:space="preserve">Repaid to date</t>
        </is>
      </c>
      <c r="I10" s="2" t="inlineStr">
        <is>
          <t xml:space="preserve">Outstanding balance</t>
        </is>
      </c>
      <c r="J10" s="2" t="inlineStr">
        <is>
          <t xml:space="preserve">Due this week</t>
        </is>
      </c>
      <c r="K10" s="2" t="inlineStr">
        <is>
          <t xml:space="preserve">Frequency</t>
        </is>
      </c>
      <c r="L10" s="2" t="inlineStr">
        <is>
          <t xml:space="preserve">Status</t>
        </is>
      </c>
      <c r="M10" s="2" t="inlineStr">
        <is>
          <t xml:space="preserve">Check</t>
        </is>
      </c>
    </row>
    <row r="11">
      <c r="A11" s="0" t="inlineStr">
        <is>
          <t xml:space="preserve">#5</t>
        </is>
      </c>
      <c r="B11" s="0" t="inlineStr">
        <is>
          <t xml:space="preserve">Daniel Motaung</t>
        </is>
      </c>
      <c r="C11" s="0" t="inlineStr">
        <is>
          <t xml:space="preserve">2026-08-23</t>
        </is>
      </c>
      <c r="D11" s="0" t="inlineStr">
        <is>
          <t xml:space="preserve">2026-09-05</t>
        </is>
      </c>
      <c r="E11" s="0" t="inlineStr">
        <is>
          <t xml:space="preserve">CT SCan Hopital needs money upfront for Scan as medical aid paid the d</t>
        </is>
      </c>
      <c r="F11" s="4">
        <v>3000</v>
      </c>
      <c r="G11" s="4">
        <v>500</v>
      </c>
      <c r="H11" s="4">
        <v>0</v>
      </c>
      <c r="I11" s="5">
        <v>0</v>
      </c>
      <c r="J11" s="4">
        <v>0</v>
      </c>
      <c r="K11" s="0" t="inlineStr">
        <is>
          <t xml:space="preserve">weekly</t>
        </is>
      </c>
      <c r="L11" s="0" t="inlineStr">
        <is>
          <t xml:space="preserve">paid</t>
        </is>
      </c>
      <c r="M11" s="15" t="inlineStr">
        <is>
          <t xml:space="preserve">Marked PAID but ledger shows only R0,00 repaid of R3 000,00 — please check</t>
        </is>
      </c>
    </row>
    <row r="12">
      <c r="A12" s="0" t="inlineStr">
        <is>
          <t xml:space="preserve">#1</t>
        </is>
      </c>
      <c r="B12" s="0" t="inlineStr">
        <is>
          <t xml:space="preserve">Erick Mpho Molefe</t>
        </is>
      </c>
      <c r="C12" s="0" t="inlineStr">
        <is>
          <t xml:space="preserve">2026-08-08</t>
        </is>
      </c>
      <c r="D12" s="0" t="inlineStr">
        <is>
          <t xml:space="preserve">2026-08-08</t>
        </is>
      </c>
      <c r="E12" s="0" t="inlineStr">
        <is>
          <t xml:space="preserve">Fix car Whatsapp -- send so we need to go check first because we still</t>
        </is>
      </c>
      <c r="F12" s="4">
        <v>2000</v>
      </c>
      <c r="G12" s="4">
        <v>500</v>
      </c>
      <c r="H12" s="4">
        <v>1500</v>
      </c>
      <c r="I12" s="5">
        <v>500</v>
      </c>
      <c r="J12" s="4">
        <v>500</v>
      </c>
      <c r="K12" s="0" t="inlineStr">
        <is>
          <t xml:space="preserve">weekly</t>
        </is>
      </c>
      <c r="L12" s="0" t="inlineStr">
        <is>
          <t xml:space="preserve">active</t>
        </is>
      </c>
    </row>
    <row r="13">
      <c r="A13" s="0" t="inlineStr">
        <is>
          <t xml:space="preserve">#7</t>
        </is>
      </c>
      <c r="B13" s="0" t="inlineStr">
        <is>
          <t xml:space="preserve">Erick Mpho Molefe</t>
        </is>
      </c>
      <c r="C13" s="0" t="inlineStr">
        <is>
          <t xml:space="preserve">2026-09-22</t>
        </is>
      </c>
      <c r="D13" s="0" t="inlineStr">
        <is>
          <t xml:space="preserve">2026-09-26</t>
        </is>
      </c>
      <c r="E13" s="0" t="inlineStr">
        <is>
          <t xml:space="preserve">22 Sep 2026 WhatsApp 07:15: "Goodmorning Mama, can I please have R600 </t>
        </is>
      </c>
      <c r="F13" s="4">
        <v>500</v>
      </c>
      <c r="G13" s="4">
        <v>500</v>
      </c>
      <c r="H13" s="4">
        <v>0</v>
      </c>
      <c r="I13" s="5">
        <v>500</v>
      </c>
      <c r="J13" s="4">
        <v>0</v>
      </c>
      <c r="K13" s="0" t="inlineStr">
        <is>
          <t xml:space="preserve">weekly</t>
        </is>
      </c>
      <c r="L13" s="0" t="inlineStr">
        <is>
          <t xml:space="preserve">active</t>
        </is>
      </c>
    </row>
    <row r="14">
      <c r="A14" s="0" t="inlineStr">
        <is>
          <t xml:space="preserve">#2</t>
        </is>
      </c>
      <c r="B14" s="0" t="inlineStr">
        <is>
          <t xml:space="preserve">Isaac Mbele</t>
        </is>
      </c>
      <c r="C14" s="0" t="inlineStr">
        <is>
          <t xml:space="preserve">2026-08-11</t>
        </is>
      </c>
      <c r="D14" s="0" t="inlineStr">
        <is>
          <t xml:space="preserve">2026-08-11</t>
        </is>
      </c>
      <c r="E14" s="0" t="inlineStr">
        <is>
          <t xml:space="preserve">3 August Morning mother this week I spent joo aim loan 300 hundred ple</t>
        </is>
      </c>
      <c r="F14" s="4">
        <v>900</v>
      </c>
      <c r="G14" s="4">
        <v>250</v>
      </c>
      <c r="H14" s="4">
        <v>550</v>
      </c>
      <c r="I14" s="5">
        <v>350</v>
      </c>
      <c r="J14" s="4">
        <v>250</v>
      </c>
      <c r="K14" s="0" t="inlineStr">
        <is>
          <t xml:space="preserve">weekly</t>
        </is>
      </c>
      <c r="L14" s="0" t="inlineStr">
        <is>
          <t xml:space="preserve">active</t>
        </is>
      </c>
    </row>
    <row r="15">
      <c r="A15" s="0" t="inlineStr">
        <is>
          <t xml:space="preserve">#3</t>
        </is>
      </c>
      <c r="B15" s="0" t="inlineStr">
        <is>
          <t xml:space="preserve">Isaac Mbele</t>
        </is>
      </c>
      <c r="C15" s="0" t="inlineStr">
        <is>
          <t xml:space="preserve">2026-08-16</t>
        </is>
      </c>
      <c r="D15" s="0" t="inlineStr">
        <is>
          <t xml:space="preserve">2026-08-17</t>
        </is>
      </c>
      <c r="E15" s="0" t="inlineStr">
        <is>
          <t xml:space="preserve">Morning mother joo aim asking 600 hundred loan please</t>
        </is>
      </c>
      <c r="F15" s="4">
        <v>600</v>
      </c>
      <c r="G15" s="4">
        <v>250</v>
      </c>
      <c r="H15" s="4">
        <v>450</v>
      </c>
      <c r="I15" s="5">
        <v>150</v>
      </c>
      <c r="J15" s="4">
        <v>150</v>
      </c>
      <c r="K15" s="0" t="inlineStr">
        <is>
          <t xml:space="preserve">weekly</t>
        </is>
      </c>
      <c r="L15" s="0" t="inlineStr">
        <is>
          <t xml:space="preserve">active</t>
        </is>
      </c>
    </row>
    <row r="16">
      <c r="A16" s="0" t="inlineStr">
        <is>
          <t xml:space="preserve">#6</t>
        </is>
      </c>
      <c r="B16" s="0" t="inlineStr">
        <is>
          <t xml:space="preserve">Isaac Mbele</t>
        </is>
      </c>
      <c r="C16" s="0" t="inlineStr">
        <is>
          <t xml:space="preserve">2026-09-01</t>
        </is>
      </c>
      <c r="D16" s="0" t="inlineStr">
        <is>
          <t xml:space="preserve">2026-09-02</t>
        </is>
      </c>
      <c r="E16" s="0" t="inlineStr">
        <is>
          <t xml:space="preserve">Morning mother my kids are having a trip off 1500 but aim short of 600</t>
        </is>
      </c>
      <c r="F16" s="4">
        <v>600</v>
      </c>
      <c r="G16" s="4">
        <v>600</v>
      </c>
      <c r="H16" s="4">
        <v>0</v>
      </c>
      <c r="I16" s="5">
        <v>600</v>
      </c>
      <c r="J16" s="4">
        <v>600</v>
      </c>
      <c r="K16" s="0" t="inlineStr">
        <is>
          <t xml:space="preserve">weekly</t>
        </is>
      </c>
      <c r="L16" s="0" t="inlineStr">
        <is>
          <t xml:space="preserve">active</t>
        </is>
      </c>
    </row>
    <row r="17">
      <c r="A17" s="0" t="inlineStr">
        <is>
          <t xml:space="preserve">#8</t>
        </is>
      </c>
      <c r="B17" s="0" t="inlineStr">
        <is>
          <t xml:space="preserve">Isaac Mbele</t>
        </is>
      </c>
      <c r="C17" s="0" t="inlineStr">
        <is>
          <t xml:space="preserve">2026-09-22</t>
        </is>
      </c>
      <c r="D17" s="0" t="inlineStr">
        <is>
          <t xml:space="preserve">2026-09-26</t>
        </is>
      </c>
      <c r="E17" s="0" t="inlineStr">
        <is>
          <t xml:space="preserve">22 Sep 2026 WhatsApp 08:15: "Mother so like. Aim not well balanced abo</t>
        </is>
      </c>
      <c r="F17" s="4">
        <v>500</v>
      </c>
      <c r="G17" s="4">
        <v>250</v>
      </c>
      <c r="H17" s="4">
        <v>0</v>
      </c>
      <c r="I17" s="5">
        <v>500</v>
      </c>
      <c r="J17" s="4">
        <v>0</v>
      </c>
      <c r="K17" s="0" t="inlineStr">
        <is>
          <t xml:space="preserve">weekly</t>
        </is>
      </c>
      <c r="L17" s="0" t="inlineStr">
        <is>
          <t xml:space="preserve">active</t>
        </is>
      </c>
    </row>
    <row r="19">
      <c r="A19" s="1" t="inlineStr">
        <is>
          <t xml:space="preserve">LOAN REPAYMENT HISTORY (all payrolls)</t>
        </is>
      </c>
    </row>
    <row r="20">
      <c r="A20" s="2" t="inlineStr">
        <is>
          <t xml:space="preserve">Loan #</t>
        </is>
      </c>
      <c r="B20" s="2" t="inlineStr">
        <is>
          <t xml:space="preserve">Employee</t>
        </is>
      </c>
      <c r="C20" s="2" t="inlineStr">
        <is>
          <t xml:space="preserve">Payroll week</t>
        </is>
      </c>
      <c r="D20" s="2" t="inlineStr">
        <is>
          <t xml:space="preserve">Recorded at</t>
        </is>
      </c>
      <c r="E20" s="2" t="inlineStr">
        <is>
          <t xml:space="preserve">Result</t>
        </is>
      </c>
      <c r="F20" s="2" t="inlineStr">
        <is>
          <t xml:space="preserve">Scheduled</t>
        </is>
      </c>
      <c r="G20" s="2" t="inlineStr">
        <is>
          <t xml:space="preserve">Deducted</t>
        </is>
      </c>
      <c r="H20" s="2" t="inlineStr">
        <is>
          <t xml:space="preserve">Balance before</t>
        </is>
      </c>
      <c r="I20" s="2" t="inlineStr">
        <is>
          <t xml:space="preserve">Balance after</t>
        </is>
      </c>
    </row>
    <row r="21">
      <c r="A21" s="0" t="inlineStr">
        <is>
          <t xml:space="preserve">#1</t>
        </is>
      </c>
      <c r="B21" s="0" t="inlineStr">
        <is>
          <t xml:space="preserve">Erick Mpho Molefe</t>
        </is>
      </c>
      <c r="C21" s="0" t="inlineStr">
        <is>
          <t xml:space="preserve">2026-08-08 → 2026-08-14</t>
        </is>
      </c>
      <c r="D21" s="0" t="inlineStr">
        <is>
          <t xml:space="preserve">2026-08-11 10:12</t>
        </is>
      </c>
      <c r="E21" s="0" t="inlineStr">
        <is>
          <t xml:space="preserve">deducted</t>
        </is>
      </c>
      <c r="F21" s="4">
        <v>500</v>
      </c>
      <c r="G21" s="4">
        <v>500</v>
      </c>
      <c r="H21" s="4">
        <v>2000</v>
      </c>
      <c r="I21" s="4">
        <v>1500</v>
      </c>
    </row>
    <row r="22">
      <c r="A22" s="0" t="inlineStr">
        <is>
          <t xml:space="preserve">#1</t>
        </is>
      </c>
      <c r="B22" s="0" t="inlineStr">
        <is>
          <t xml:space="preserve">Erick Mpho Molefe</t>
        </is>
      </c>
      <c r="C22" s="0" t="inlineStr">
        <is>
          <t xml:space="preserve">2026-08-15 → 2026-08-21</t>
        </is>
      </c>
      <c r="D22" s="0" t="inlineStr">
        <is>
          <t xml:space="preserve">2026-08-16 13:37</t>
        </is>
      </c>
      <c r="E22" s="0" t="inlineStr">
        <is>
          <t xml:space="preserve">deducted</t>
        </is>
      </c>
      <c r="F22" s="4">
        <v>500</v>
      </c>
      <c r="G22" s="4">
        <v>500</v>
      </c>
      <c r="H22" s="4">
        <v>1500</v>
      </c>
      <c r="I22" s="4">
        <v>1000</v>
      </c>
    </row>
    <row r="23">
      <c r="A23" s="0" t="inlineStr">
        <is>
          <t xml:space="preserve">#1</t>
        </is>
      </c>
      <c r="B23" s="0" t="inlineStr">
        <is>
          <t xml:space="preserve">Erick Mpho Molefe</t>
        </is>
      </c>
      <c r="C23" s="0" t="inlineStr">
        <is>
          <t xml:space="preserve">2026-09-05 → 2026-09-11</t>
        </is>
      </c>
      <c r="D23" s="0" t="inlineStr">
        <is>
          <t xml:space="preserve">2026-09-07 12:01</t>
        </is>
      </c>
      <c r="E23" s="0" t="inlineStr">
        <is>
          <t xml:space="preserve">deducted</t>
        </is>
      </c>
      <c r="F23" s="4">
        <v>500</v>
      </c>
      <c r="G23" s="4">
        <v>500</v>
      </c>
      <c r="H23" s="4">
        <v>1000</v>
      </c>
      <c r="I23" s="4">
        <v>500</v>
      </c>
    </row>
    <row r="24">
      <c r="A24" s="0" t="inlineStr">
        <is>
          <t xml:space="preserve">#2</t>
        </is>
      </c>
      <c r="B24" s="0" t="inlineStr">
        <is>
          <t xml:space="preserve">Isaac Mbele</t>
        </is>
      </c>
      <c r="C24" s="0" t="inlineStr">
        <is>
          <t xml:space="preserve">2026-08-08 → 2026-08-14</t>
        </is>
      </c>
      <c r="D24" s="0" t="inlineStr">
        <is>
          <t xml:space="preserve">2026-08-11 09:42</t>
        </is>
      </c>
      <c r="E24" s="0" t="inlineStr">
        <is>
          <t xml:space="preserve">deferred</t>
        </is>
      </c>
      <c r="F24" s="4">
        <v>300</v>
      </c>
      <c r="G24" s="4">
        <v>0</v>
      </c>
      <c r="H24" s="4">
        <v>900</v>
      </c>
      <c r="I24" s="4">
        <v>900</v>
      </c>
    </row>
    <row r="25">
      <c r="A25" s="0" t="inlineStr">
        <is>
          <t xml:space="preserve">#2</t>
        </is>
      </c>
      <c r="B25" s="0" t="inlineStr">
        <is>
          <t xml:space="preserve">Isaac Mbele</t>
        </is>
      </c>
      <c r="C25" s="0" t="inlineStr">
        <is>
          <t xml:space="preserve">2026-08-15 → 2026-08-21</t>
        </is>
      </c>
      <c r="D25" s="0" t="inlineStr">
        <is>
          <t xml:space="preserve">2026-08-16 13:37</t>
        </is>
      </c>
      <c r="E25" s="0" t="inlineStr">
        <is>
          <t xml:space="preserve">deducted</t>
        </is>
      </c>
      <c r="F25" s="4">
        <v>300</v>
      </c>
      <c r="G25" s="4">
        <v>300</v>
      </c>
      <c r="H25" s="4">
        <v>900</v>
      </c>
      <c r="I25" s="4">
        <v>600</v>
      </c>
    </row>
    <row r="26">
      <c r="A26" s="0" t="inlineStr">
        <is>
          <t xml:space="preserve">#2</t>
        </is>
      </c>
      <c r="B26" s="0" t="inlineStr">
        <is>
          <t xml:space="preserve">Isaac Mbele</t>
        </is>
      </c>
      <c r="C26" s="0" t="inlineStr">
        <is>
          <t xml:space="preserve">2026-09-05 → 2026-09-11</t>
        </is>
      </c>
      <c r="D26" s="0" t="inlineStr">
        <is>
          <t xml:space="preserve">2026-09-07 12:01</t>
        </is>
      </c>
      <c r="E26" s="0" t="inlineStr">
        <is>
          <t xml:space="preserve">deducted</t>
        </is>
      </c>
      <c r="F26" s="4">
        <v>250</v>
      </c>
      <c r="G26" s="4">
        <v>250</v>
      </c>
      <c r="H26" s="4">
        <v>600</v>
      </c>
      <c r="I26" s="4">
        <v>350</v>
      </c>
    </row>
    <row r="27">
      <c r="A27" s="0" t="inlineStr">
        <is>
          <t xml:space="preserve">#3</t>
        </is>
      </c>
      <c r="B27" s="0" t="inlineStr">
        <is>
          <t xml:space="preserve">Isaac Mbele</t>
        </is>
      </c>
      <c r="C27" s="0" t="inlineStr">
        <is>
          <t xml:space="preserve">2026-08-15 → 2026-08-21</t>
        </is>
      </c>
      <c r="D27" s="0" t="inlineStr">
        <is>
          <t xml:space="preserve">2026-08-16 13:37</t>
        </is>
      </c>
      <c r="E27" s="0" t="inlineStr">
        <is>
          <t xml:space="preserve">deducted</t>
        </is>
      </c>
      <c r="F27" s="4">
        <v>200</v>
      </c>
      <c r="G27" s="4">
        <v>200</v>
      </c>
      <c r="H27" s="4">
        <v>600</v>
      </c>
      <c r="I27" s="4">
        <v>400</v>
      </c>
    </row>
    <row r="28">
      <c r="A28" s="0" t="inlineStr">
        <is>
          <t xml:space="preserve">#3</t>
        </is>
      </c>
      <c r="B28" s="0" t="inlineStr">
        <is>
          <t xml:space="preserve">Isaac Mbele</t>
        </is>
      </c>
      <c r="C28" s="0" t="inlineStr">
        <is>
          <t xml:space="preserve">2026-09-05 → 2026-09-11</t>
        </is>
      </c>
      <c r="D28" s="0" t="inlineStr">
        <is>
          <t xml:space="preserve">2026-09-07 12:01</t>
        </is>
      </c>
      <c r="E28" s="0" t="inlineStr">
        <is>
          <t xml:space="preserve">deducted</t>
        </is>
      </c>
      <c r="F28" s="4">
        <v>250</v>
      </c>
      <c r="G28" s="4">
        <v>250</v>
      </c>
      <c r="H28" s="4">
        <v>400</v>
      </c>
      <c r="I28" s="4">
        <v>150</v>
      </c>
    </row>
    <row r="29">
      <c r="A29" s="0" t="inlineStr">
        <is>
          <t xml:space="preserve">#5</t>
        </is>
      </c>
      <c r="B29" s="0" t="inlineStr">
        <is>
          <t xml:space="preserve">Daniel Motaung</t>
        </is>
      </c>
      <c r="C29" s="0" t="inlineStr">
        <is>
          <t xml:space="preserve">2026-09-05 → 2026-09-11</t>
        </is>
      </c>
      <c r="D29" s="0" t="inlineStr">
        <is>
          <t xml:space="preserve">2026-09-07 12:01</t>
        </is>
      </c>
      <c r="E29" s="0" t="inlineStr">
        <is>
          <t xml:space="preserve">deferred</t>
        </is>
      </c>
      <c r="F29" s="4">
        <v>500</v>
      </c>
      <c r="G29" s="4">
        <v>0</v>
      </c>
      <c r="H29" s="4">
        <v>3000</v>
      </c>
      <c r="I29" s="4">
        <v>3000</v>
      </c>
    </row>
    <row r="30">
      <c r="A30" s="0" t="inlineStr">
        <is>
          <t xml:space="preserve">#6</t>
        </is>
      </c>
      <c r="B30" s="0" t="inlineStr">
        <is>
          <t xml:space="preserve">Isaac Mbele</t>
        </is>
      </c>
      <c r="C30" s="0" t="inlineStr">
        <is>
          <t xml:space="preserve">2026-09-05 → 2026-09-11</t>
        </is>
      </c>
      <c r="D30" s="0" t="inlineStr">
        <is>
          <t xml:space="preserve">2026-09-07 12:01</t>
        </is>
      </c>
      <c r="E30" s="0" t="inlineStr">
        <is>
          <t xml:space="preserve">deferred</t>
        </is>
      </c>
      <c r="F30" s="4">
        <v>600</v>
      </c>
      <c r="G30" s="4">
        <v>0</v>
      </c>
      <c r="H30" s="4">
        <v>600</v>
      </c>
      <c r="I30" s="4">
        <v>600</v>
      </c>
    </row>
  </sheetData>
  <mergeCells count="2">
    <mergeCell ref="A1:M1"/>
    <mergeCell ref="A2:M2"/>
  </mergeCells>
</worksheet>
</file>

<file path=xl/worksheets/sheet6.xml><?xml version="1.0" encoding="utf-8"?>
<worksheet xmlns="http://schemas.openxmlformats.org/spreadsheetml/2006/main" xmlns:r="http://schemas.openxmlformats.org/officeDocument/2006/relationships">
  <sheetViews>
    <sheetView workbookViewId="0">
      <pane ySplit="4" topLeftCell="A5" activePane="bottomLeft" state="frozen"/>
    </sheetView>
  </sheetViews>
  <cols>
    <col min="1" max="1" width="28" customWidth="1"/>
    <col min="2" max="2" width="30" customWidth="1"/>
    <col min="3" max="3" width="12" customWidth="1"/>
    <col min="4" max="4" width="12" customWidth="1"/>
    <col min="5" max="5" width="120" customWidth="1"/>
  </cols>
  <sheetData>
    <row r="1" ht="22" customHeight="1">
      <c r="A1" s="3" t="inlineStr">
        <is>
          <t xml:space="preserve">B&amp;W PRODUCTIONS — MISSED SHIFTS (previous payroll, paid in this payroll)</t>
        </is>
      </c>
    </row>
    <row r="2" ht="30" customHeight="1">
      <c r="A2" s="11" t="inlineStr">
        <is>
          <t xml:space="preserve">Payroll week 2026-09-19 to 2026-09-25. Approved hours = the green review decision (claimed hours where no review was needed). YELLOW hours cells can be overtyped — the Amount next to them recalculates automatically and flows to block 6 on the Auditor Trail and to the Summary.</t>
        </is>
      </c>
    </row>
    <row r="4" ht="30" customHeight="1">
      <c r="A4" s="2" t="inlineStr">
        <is>
          <t xml:space="preserve">Worker</t>
        </is>
      </c>
      <c r="B4" s="2" t="inlineStr">
        <is>
          <t xml:space="preserve">Missed shift</t>
        </is>
      </c>
      <c r="C4" s="2" t="inlineStr">
        <is>
          <t xml:space="preserve">Approved hours</t>
        </is>
      </c>
      <c r="D4" s="2" t="inlineStr">
        <is>
          <t xml:space="preserve">Amount</t>
        </is>
      </c>
      <c r="E4" s="2" t="inlineStr">
        <is>
          <t xml:space="preserve">Notes</t>
        </is>
      </c>
    </row>
    <row r="5" ht="28" customHeight="1">
      <c r="A5" s="17" t="inlineStr">
        <is>
          <t xml:space="preserve">Bhekizitha Maphosa</t>
        </is>
      </c>
      <c r="B5" s="17" t="inlineStr">
        <is>
          <t xml:space="preserve">Thu 17 Sep 2026  06:00–07:00</t>
        </is>
      </c>
      <c r="C5" s="16">
        <f>'Wage Detail Linked'!O5</f>
      </c>
      <c r="D5" s="19">
        <f>IF('Wage Detail Linked'!O5=0,IF(C5&gt;0,ROUND(C5*95,2),0),ROUND('Wage Detail Linked'!R5*C5/'Wage Detail Linked'!O5,2))</f>
      </c>
      <c r="E5" s="8" t="inlineStr">
        <is>
          <t xml:space="preserve">Worked Thu 17 Sep 2026 (previous payroll), not captured that week; final-submitted and paid in payroll 2026-09-19 to 2026-09-25.
CLEAR worked 07:00–16:00 that day (paid); these hours are outside those times</t>
        </is>
      </c>
    </row>
    <row r="6" ht="28" customHeight="1">
      <c r="A6" s="17" t="inlineStr">
        <is>
          <t xml:space="preserve">Bhekizitha Maphosa</t>
        </is>
      </c>
      <c r="B6" s="17" t="inlineStr">
        <is>
          <t xml:space="preserve">Thu 17 Sep 2026  16:00–18:00</t>
        </is>
      </c>
      <c r="C6" s="16">
        <f>'Wage Detail Linked'!O6</f>
      </c>
      <c r="D6" s="19">
        <f>IF('Wage Detail Linked'!O6=0,IF(C6&gt;0,ROUND(C6*95,2),0),ROUND('Wage Detail Linked'!R6*C6/'Wage Detail Linked'!O6,2))</f>
      </c>
      <c r="E6" s="8" t="inlineStr">
        <is>
          <t xml:space="preserve">Worked Thu 17 Sep 2026 (previous payroll), not captured that week; final-submitted and paid in payroll 2026-09-19 to 2026-09-25.
CLEAR worked 07:00–16:00 that day (paid); these hours are outside those times</t>
        </is>
      </c>
    </row>
    <row r="7">
      <c r="A7" s="1" t="inlineStr">
        <is>
          <t xml:space="preserve">Bhekizitha Maphosa — missed total</t>
        </is>
      </c>
      <c r="C7" s="12">
        <f>SUM(C5:C6)</f>
      </c>
      <c r="D7" s="13">
        <f>SUM(D5:D6)</f>
      </c>
    </row>
    <row r="9" ht="28" customHeight="1">
      <c r="A9" s="20" t="inlineStr">
        <is>
          <t xml:space="preserve">Erence Mngomezulu</t>
        </is>
      </c>
      <c r="B9" s="20" t="inlineStr">
        <is>
          <t xml:space="preserve">Wed 16 Sep 2026  16:00–18:00</t>
        </is>
      </c>
      <c r="C9" s="16">
        <f>'Wage Detail Linked'!O17</f>
      </c>
      <c r="D9" s="22">
        <f>IF('Wage Detail Linked'!O17=0,IF(C9&gt;0,ROUND(C9*95,2),0),ROUND('Wage Detail Linked'!R17*C9/'Wage Detail Linked'!O17,2))</f>
      </c>
      <c r="E9" s="8" t="inlineStr">
        <is>
          <t xml:space="preserve">Worked Wed 16 Sep 2026 (previous payroll), not captured that week; final-submitted and paid in payroll 2026-09-19 to 2026-09-25.
CLEAR worked 07:00–16:00 that day (paid); these hours are outside those times</t>
        </is>
      </c>
    </row>
    <row r="10" ht="28" customHeight="1">
      <c r="A10" s="20" t="inlineStr">
        <is>
          <t xml:space="preserve">Erence Mngomezulu</t>
        </is>
      </c>
      <c r="B10" s="20" t="inlineStr">
        <is>
          <t xml:space="preserve">Thu 17 Sep 2026  06:00–07:00</t>
        </is>
      </c>
      <c r="C10" s="16">
        <f>'Wage Detail Linked'!O18</f>
      </c>
      <c r="D10" s="22">
        <f>IF('Wage Detail Linked'!O18=0,IF(C10&gt;0,ROUND(C10*95,2),0),ROUND('Wage Detail Linked'!R18*C10/'Wage Detail Linked'!O18,2))</f>
      </c>
      <c r="E10" s="8" t="inlineStr">
        <is>
          <t xml:space="preserve">Worked Thu 17 Sep 2026 (previous payroll), not captured that week; final-submitted and paid in payroll 2026-09-19 to 2026-09-25.
CLEAR worked 07:00–16:00 that day (paid); these hours are outside those times</t>
        </is>
      </c>
    </row>
    <row r="11" ht="28" customHeight="1">
      <c r="A11" s="20" t="inlineStr">
        <is>
          <t xml:space="preserve">Erence Mngomezulu</t>
        </is>
      </c>
      <c r="B11" s="20" t="inlineStr">
        <is>
          <t xml:space="preserve">Thu 17 Sep 2026  16:00–20:00</t>
        </is>
      </c>
      <c r="C11" s="16">
        <f>'Wage Detail Linked'!O19</f>
      </c>
      <c r="D11" s="22">
        <f>IF('Wage Detail Linked'!O19=0,IF(C11&gt;0,ROUND(C11*95,2),0),ROUND('Wage Detail Linked'!R19*C11/'Wage Detail Linked'!O19,2))</f>
      </c>
      <c r="E11" s="8" t="inlineStr">
        <is>
          <t xml:space="preserve">Worked Thu 17 Sep 2026 (previous payroll), not captured that week; final-submitted and paid in payroll 2026-09-19 to 2026-09-25.
CLEAR worked 07:00–16:00 that day (paid); these hours are outside those times</t>
        </is>
      </c>
    </row>
    <row r="12">
      <c r="A12" s="1" t="inlineStr">
        <is>
          <t xml:space="preserve">Erence Mngomezulu — missed total</t>
        </is>
      </c>
      <c r="C12" s="12">
        <f>SUM(C9:C11)</f>
      </c>
      <c r="D12" s="13">
        <f>SUM(D9:D11)</f>
      </c>
    </row>
    <row r="14" ht="28" customHeight="1">
      <c r="A14" s="23" t="inlineStr">
        <is>
          <t xml:space="preserve">Erick Mpho Molefe</t>
        </is>
      </c>
      <c r="B14" s="23" t="inlineStr">
        <is>
          <t xml:space="preserve">Thu 17 Sep 2026  16:00–18:00</t>
        </is>
      </c>
      <c r="C14" s="16">
        <f>'Wage Detail Linked'!O25</f>
      </c>
      <c r="D14" s="25">
        <f>IF('Wage Detail Linked'!O25=0,IF(C14&gt;0,ROUND(C14*95,2),0),ROUND('Wage Detail Linked'!R25*C14/'Wage Detail Linked'!O25,2))</f>
      </c>
      <c r="E14" s="8" t="inlineStr">
        <is>
          <t xml:space="preserve">Worked Thu 17 Sep 2026 (previous payroll), not captured that week; final-submitted and paid in payroll 2026-09-19 to 2026-09-25.
CLEAR worked 07:00–16:00 that day (paid); these hours are outside those times</t>
        </is>
      </c>
    </row>
    <row r="15">
      <c r="A15" s="1" t="inlineStr">
        <is>
          <t xml:space="preserve">Erick Mpho Molefe — missed total</t>
        </is>
      </c>
      <c r="C15" s="12">
        <f>SUM(C14:C14)</f>
      </c>
      <c r="D15" s="13">
        <f>SUM(D14:D14)</f>
      </c>
    </row>
    <row r="17" ht="28" customHeight="1">
      <c r="A17" s="26" t="inlineStr">
        <is>
          <t xml:space="preserve">Givemore Chifetete Kuziwa</t>
        </is>
      </c>
      <c r="B17" s="26" t="inlineStr">
        <is>
          <t xml:space="preserve">Thu 17 Sep 2026  06:00–18:00</t>
        </is>
      </c>
      <c r="C17" s="16">
        <f>'Wage Detail Linked'!O31</f>
      </c>
      <c r="D17" s="28">
        <f>IF('Wage Detail Linked'!O31=0,IF(C17&gt;0,ROUND(C17*95,2),0),ROUND('Wage Detail Linked'!R31*C17/'Wage Detail Linked'!O31,2))</f>
      </c>
      <c r="E17" s="8" t="inlineStr">
        <is>
          <t xml:space="preserve">Worked Thu 17 Sep 2026 (previous payroll), not captured that week; final-submitted and paid in payroll 2026-09-19 to 2026-09-25.
OVERLAP already paid 08:00–16:00 (Garden, payroll n/a)</t>
        </is>
      </c>
    </row>
    <row r="18">
      <c r="A18" s="1" t="inlineStr">
        <is>
          <t xml:space="preserve">Givemore Chifetete Kuziwa — missed total</t>
        </is>
      </c>
      <c r="C18" s="12">
        <f>SUM(C17:C17)</f>
      </c>
      <c r="D18" s="13">
        <f>SUM(D17:D17)</f>
      </c>
    </row>
    <row r="20" ht="28" customHeight="1">
      <c r="A20" s="29" t="inlineStr">
        <is>
          <t xml:space="preserve">John Simbarashe Mhlanga</t>
        </is>
      </c>
      <c r="B20" s="29" t="inlineStr">
        <is>
          <t xml:space="preserve">Wed 16 Sep 2026  07:00–16:00</t>
        </is>
      </c>
      <c r="C20" s="16">
        <f>'Wage Detail Linked'!O43</f>
      </c>
      <c r="D20" s="31">
        <f>IF('Wage Detail Linked'!O43=0,IF(C20&gt;0,ROUND(C20*95,2),0),ROUND('Wage Detail Linked'!R43*C20/'Wage Detail Linked'!O43,2))</f>
      </c>
      <c r="E20" s="8" t="inlineStr">
        <is>
          <t xml:space="preserve">Worked Wed 16 Sep 2026 (previous payroll), not captured that week; final-submitted and paid in payroll 2026-09-19 to 2026-09-25.
OVERLAP already paid 07:00–16:00 (Botanical gardens event day, payroll n/a)</t>
        </is>
      </c>
    </row>
    <row r="21" ht="28" customHeight="1">
      <c r="A21" s="29" t="inlineStr">
        <is>
          <t xml:space="preserve">John Simbarashe Mhlanga</t>
        </is>
      </c>
      <c r="B21" s="29" t="inlineStr">
        <is>
          <t xml:space="preserve">Thu 17 Sep 2026  15:00–20:00</t>
        </is>
      </c>
      <c r="C21" s="16">
        <f>'Wage Detail Linked'!O44</f>
      </c>
      <c r="D21" s="31">
        <f>IF('Wage Detail Linked'!O44=0,IF(C21&gt;0,ROUND(C21*120,2),0),ROUND('Wage Detail Linked'!R44*C21/'Wage Detail Linked'!O44,2))</f>
      </c>
      <c r="E21" s="8" t="inlineStr">
        <is>
          <t xml:space="preserve">Worked Thu 17 Sep 2026 (previous payroll), not captured that week; final-submitted and paid in payroll 2026-09-19 to 2026-09-25.
OVERLAP already paid 07:00–16:00 (FNB Stadium, payroll n/a)</t>
        </is>
      </c>
    </row>
    <row r="22">
      <c r="A22" s="1" t="inlineStr">
        <is>
          <t xml:space="preserve">John Simbarashe Mhlanga — missed total</t>
        </is>
      </c>
      <c r="C22" s="12">
        <f>SUM(C20:C21)</f>
      </c>
      <c r="D22" s="13">
        <f>SUM(D20:D21)</f>
      </c>
    </row>
    <row r="24" ht="28" customHeight="1">
      <c r="A24" s="32" t="inlineStr">
        <is>
          <t xml:space="preserve">Joshua Motsamai Nteo</t>
        </is>
      </c>
      <c r="B24" s="32" t="inlineStr">
        <is>
          <t xml:space="preserve">Sun 13 Sep 2026  07:00–13:00</t>
        </is>
      </c>
      <c r="C24" s="16">
        <f>'Wage Detail Linked'!O53</f>
      </c>
      <c r="D24" s="34">
        <f>IF('Wage Detail Linked'!O53=0,IF(C24&gt;0,ROUND(C24*114,2),0),ROUND('Wage Detail Linked'!R53*C24/'Wage Detail Linked'!O53,2))</f>
      </c>
      <c r="E24" s="8" t="inlineStr">
        <is>
          <t xml:space="preserve">Worked Sun 13 Sep 2026 (previous payroll), not captured that week; final-submitted and paid in payroll 2026-09-19 to 2026-09-25.
OVERLAP already paid 07:00–13:00 (Pastdal pub, payroll n/a)</t>
        </is>
      </c>
    </row>
    <row r="25" ht="28" customHeight="1">
      <c r="A25" s="32" t="inlineStr">
        <is>
          <t xml:space="preserve">Joshua Motsamai Nteo</t>
        </is>
      </c>
      <c r="B25" s="32" t="inlineStr">
        <is>
          <t xml:space="preserve">Thu 17 Sep 2026  05:00–07:00</t>
        </is>
      </c>
      <c r="C25" s="16">
        <f>'Wage Detail Linked'!O54</f>
      </c>
      <c r="D25" s="34">
        <f>IF('Wage Detail Linked'!O54=0,IF(C25&gt;0,ROUND(C25*95,2),0),ROUND('Wage Detail Linked'!R54*C25/'Wage Detail Linked'!O54,2))</f>
      </c>
      <c r="E25" s="8" t="inlineStr">
        <is>
          <t xml:space="preserve">Worked Thu 17 Sep 2026 (previous payroll), not captured that week; final-submitted and paid in payroll 2026-09-19 to 2026-09-25.
CLEAR worked 07:00–16:00 that day (paid); these hours are outside those times</t>
        </is>
      </c>
    </row>
    <row r="26" ht="28" customHeight="1">
      <c r="A26" s="32" t="inlineStr">
        <is>
          <t xml:space="preserve">Joshua Motsamai Nteo</t>
        </is>
      </c>
      <c r="B26" s="32" t="inlineStr">
        <is>
          <t xml:space="preserve">Thu 17 Sep 2026  16:00–18:30</t>
        </is>
      </c>
      <c r="C26" s="16">
        <f>'Wage Detail Linked'!O55</f>
      </c>
      <c r="D26" s="34">
        <f>IF('Wage Detail Linked'!O55=0,IF(C26&gt;0,ROUND(C26*95,2),0),ROUND('Wage Detail Linked'!R55*C26/'Wage Detail Linked'!O55,2))</f>
      </c>
      <c r="E26" s="8" t="inlineStr">
        <is>
          <t xml:space="preserve">Worked Thu 17 Sep 2026 (previous payroll), not captured that week; final-submitted and paid in payroll 2026-09-19 to 2026-09-25.
CLEAR worked 07:00–16:00 that day (paid); these hours are outside those times</t>
        </is>
      </c>
    </row>
    <row r="27">
      <c r="A27" s="1" t="inlineStr">
        <is>
          <t xml:space="preserve">Joshua Motsamai Nteo — missed total</t>
        </is>
      </c>
      <c r="C27" s="12">
        <f>SUM(C24:C26)</f>
      </c>
      <c r="D27" s="13">
        <f>SUM(D24:D26)</f>
      </c>
    </row>
    <row r="29" ht="28" customHeight="1">
      <c r="A29" s="17" t="inlineStr">
        <is>
          <t xml:space="preserve">Patrick Ngozo</t>
        </is>
      </c>
      <c r="B29" s="17" t="inlineStr">
        <is>
          <t xml:space="preserve">Wed 16 Sep 2026  16:00–18:00</t>
        </is>
      </c>
      <c r="C29" s="16">
        <f>'Wage Detail Linked'!O64</f>
      </c>
      <c r="D29" s="19">
        <f>IF('Wage Detail Linked'!O64=0,IF(C29&gt;0,ROUND(C29*95,2),0),ROUND('Wage Detail Linked'!R64*C29/'Wage Detail Linked'!O64,2))</f>
      </c>
      <c r="E29" s="8" t="inlineStr">
        <is>
          <t xml:space="preserve">Worked Wed 16 Sep 2026 (previous payroll), not captured that week; final-submitted and paid in payroll 2026-09-19 to 2026-09-25.
CLEAR worked 06:30–16:00 that day (paid); these hours are outside those times</t>
        </is>
      </c>
    </row>
    <row r="30" ht="28" customHeight="1">
      <c r="A30" s="17" t="inlineStr">
        <is>
          <t xml:space="preserve">Patrick Ngozo</t>
        </is>
      </c>
      <c r="B30" s="17" t="inlineStr">
        <is>
          <t xml:space="preserve">Thu 17 Sep 2026  06:00–07:00</t>
        </is>
      </c>
      <c r="C30" s="16">
        <f>'Wage Detail Linked'!O65</f>
      </c>
      <c r="D30" s="19">
        <f>IF('Wage Detail Linked'!O65=0,IF(C30&gt;0,ROUND(C30*95,2),0),ROUND('Wage Detail Linked'!R65*C30/'Wage Detail Linked'!O65,2))</f>
      </c>
      <c r="E30" s="8" t="inlineStr">
        <is>
          <t xml:space="preserve">Worked Thu 17 Sep 2026 (previous payroll), not captured that week; final-submitted and paid in payroll 2026-09-19 to 2026-09-25.
CLEAR worked 07:00–16:00 that day (paid); these hours are outside those times</t>
        </is>
      </c>
    </row>
    <row r="31" ht="28" customHeight="1">
      <c r="A31" s="17" t="inlineStr">
        <is>
          <t xml:space="preserve">Patrick Ngozo</t>
        </is>
      </c>
      <c r="B31" s="17" t="inlineStr">
        <is>
          <t xml:space="preserve">Thu 17 Sep 2026  16:00–20:00</t>
        </is>
      </c>
      <c r="C31" s="16">
        <f>'Wage Detail Linked'!O66</f>
      </c>
      <c r="D31" s="19">
        <f>IF('Wage Detail Linked'!O66=0,IF(C31&gt;0,ROUND(C31*95,2),0),ROUND('Wage Detail Linked'!R66*C31/'Wage Detail Linked'!O66,2))</f>
      </c>
      <c r="E31" s="8" t="inlineStr">
        <is>
          <t xml:space="preserve">Worked Thu 17 Sep 2026 (previous payroll), not captured that week; final-submitted and paid in payroll 2026-09-19 to 2026-09-25.
CLEAR worked 07:00–16:00 that day (paid); these hours are outside those times</t>
        </is>
      </c>
    </row>
    <row r="32">
      <c r="A32" s="1" t="inlineStr">
        <is>
          <t xml:space="preserve">Patrick Ngozo — missed total</t>
        </is>
      </c>
      <c r="C32" s="12">
        <f>SUM(C29:C31)</f>
      </c>
      <c r="D32" s="13">
        <f>SUM(D29:D31)</f>
      </c>
    </row>
    <row r="34" ht="28" customHeight="1">
      <c r="A34" s="20" t="inlineStr">
        <is>
          <t xml:space="preserve">Solomon Moyo</t>
        </is>
      </c>
      <c r="B34" s="20" t="inlineStr">
        <is>
          <t xml:space="preserve">Wed 16 Sep 2026  16:00–18:00</t>
        </is>
      </c>
      <c r="C34" s="16">
        <f>'Wage Detail Linked'!O72</f>
      </c>
      <c r="D34" s="22">
        <f>IF('Wage Detail Linked'!O72=0,IF(C34&gt;0,ROUND(C34*95,2),0),ROUND('Wage Detail Linked'!R72*C34/'Wage Detail Linked'!O72,2))</f>
      </c>
      <c r="E34" s="8" t="inlineStr">
        <is>
          <t xml:space="preserve">Worked Wed 16 Sep 2026 (previous payroll), not captured that week; final-submitted and paid in payroll 2026-09-19 to 2026-09-25.
CLEAR worked 07:00–16:00 that day (paid); these hours are outside those times</t>
        </is>
      </c>
    </row>
    <row r="35" ht="28" customHeight="1">
      <c r="A35" s="20" t="inlineStr">
        <is>
          <t xml:space="preserve">Solomon Moyo</t>
        </is>
      </c>
      <c r="B35" s="20" t="inlineStr">
        <is>
          <t xml:space="preserve">Thu 17 Sep 2026  16:00–21:00</t>
        </is>
      </c>
      <c r="C35" s="16">
        <f>'Wage Detail Linked'!O73</f>
      </c>
      <c r="D35" s="22">
        <f>IF('Wage Detail Linked'!O73=0,IF(C35&gt;0,ROUND(C35*95,2),0),ROUND('Wage Detail Linked'!R73*C35/'Wage Detail Linked'!O73,2))</f>
      </c>
      <c r="E35" s="8" t="inlineStr">
        <is>
          <t xml:space="preserve">Worked Thu 17 Sep 2026 (previous payroll), not captured that week; final-submitted and paid in payroll 2026-09-19 to 2026-09-25.
CLEAR worked 07:00–16:00 that day (paid); these hours are outside those times</t>
        </is>
      </c>
    </row>
    <row r="36">
      <c r="A36" s="1" t="inlineStr">
        <is>
          <t xml:space="preserve">Solomon Moyo — missed total</t>
        </is>
      </c>
      <c r="C36" s="12">
        <f>SUM(C34:C35)</f>
      </c>
      <c r="D36" s="13">
        <f>SUM(D34:D35)</f>
      </c>
    </row>
    <row r="38" ht="28" customHeight="1">
      <c r="A38" s="23" t="inlineStr">
        <is>
          <t xml:space="preserve">Takavaudza Chokuda</t>
        </is>
      </c>
      <c r="B38" s="23" t="inlineStr">
        <is>
          <t xml:space="preserve">Thu 17 Sep 2026  16:00–18:00</t>
        </is>
      </c>
      <c r="C38" s="16">
        <f>'Wage Detail Linked'!O79</f>
      </c>
      <c r="D38" s="25">
        <f>IF('Wage Detail Linked'!O79=0,IF(C38&gt;0,ROUND(C38*95,2),0),ROUND('Wage Detail Linked'!R79*C38/'Wage Detail Linked'!O79,2))</f>
      </c>
      <c r="E38" s="8" t="inlineStr">
        <is>
          <t xml:space="preserve">Worked Thu 17 Sep 2026 (previous payroll), not captured that week; final-submitted and paid in payroll 2026-09-19 to 2026-09-25.
CLEAR worked 07:00–16:00 that day (paid); these hours are outside those times</t>
        </is>
      </c>
    </row>
    <row r="39">
      <c r="A39" s="1" t="inlineStr">
        <is>
          <t xml:space="preserve">Takavaudza Chokuda — missed total</t>
        </is>
      </c>
      <c r="C39" s="12">
        <f>SUM(C38:C38)</f>
      </c>
      <c r="D39" s="13">
        <f>SUM(D38:D38)</f>
      </c>
    </row>
    <row r="41" ht="28" customHeight="1">
      <c r="A41" s="26" t="inlineStr">
        <is>
          <t xml:space="preserve">Thina Dyani</t>
        </is>
      </c>
      <c r="B41" s="26" t="inlineStr">
        <is>
          <t xml:space="preserve">Thu 17 Sep 2026  16:00–21:00</t>
        </is>
      </c>
      <c r="C41" s="16">
        <f>'Wage Detail Linked'!O91</f>
      </c>
      <c r="D41" s="28">
        <f>IF('Wage Detail Linked'!O91=0,IF(C41&gt;0,ROUND(C41*95,2),0),ROUND('Wage Detail Linked'!R91*C41/'Wage Detail Linked'!O91,2))</f>
      </c>
      <c r="E41" s="8" t="inlineStr">
        <is>
          <t xml:space="preserve">Worked Thu 17 Sep 2026 (previous payroll), not captured that week; final-submitted and paid in payroll 2026-09-19 to 2026-09-25.
CLEAR nothing else paid for this day</t>
        </is>
      </c>
    </row>
    <row r="42">
      <c r="A42" s="1" t="inlineStr">
        <is>
          <t xml:space="preserve">Thina Dyani — missed total</t>
        </is>
      </c>
      <c r="C42" s="12">
        <f>SUM(C41:C41)</f>
      </c>
      <c r="D42" s="13">
        <f>SUM(D41:D41)</f>
      </c>
    </row>
    <row r="44">
      <c r="A44" s="1" t="inlineStr">
        <is>
          <t xml:space="preserve">GRAND TOTAL MISSED SHIFTS</t>
        </is>
      </c>
      <c r="C44" s="12">
        <f>C18+C39+C42+C7+C22+C12+C15+C36+C32+C27</f>
      </c>
      <c r="D44" s="13">
        <f>D18+D39+D42+D7+D22+D12+D15+D36+D32+D27</f>
      </c>
    </row>
  </sheetData>
  <mergeCells count="2">
    <mergeCell ref="A1:E1"/>
    <mergeCell ref="A2:E2"/>
  </mergeCells>
</worksheet>
</file>