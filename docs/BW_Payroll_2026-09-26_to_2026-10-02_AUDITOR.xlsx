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2" xfId="0" applyNumberFormat="1" applyBorder="1" applyAlignment="1">
      <alignment vertical="center"/>
    </xf>
    <xf numFmtId="164" fontId="1" fillId="0" borderId="2" xfId="0" applyNumberFormat="1" applyFont="1" applyBorder="1"/>
    <xf numFmtId="0" fontId="0" fillId="3" borderId="2" xfId="0" applyFill="1" applyBorder="1"/>
    <xf numFmtId="164" fontId="0" fillId="3" borderId="2" xfId="0" applyNumberFormat="1" applyFill="1" applyBorder="1" applyAlignment="1">
      <alignment vertical="center"/>
    </xf>
    <xf numFmtId="0" fontId="0" fillId="0" borderId="0" xfId="0" applyAlignment="1">
      <alignment wrapText="1" vertical="top"/>
    </xf>
    <xf numFmtId="2" fontId="0" fillId="0" borderId="2" xfId="0" applyNumberFormat="1" applyBorder="1" applyAlignment="1">
      <alignment vertical="center"/>
    </xf>
    <xf numFmtId="2" fontId="1" fillId="0" borderId="2" xfId="0" applyNumberFormat="1" applyFont="1" applyBorder="1"/>
    <xf numFmtId="0" fontId="3" fillId="0" borderId="0" xfId="0" applyFont="1" applyAlignment="1">
      <alignment wrapText="1" vertical="top"/>
    </xf>
    <xf numFmtId="2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vertical="center"/>
    </xf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2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  <xf numFmtId="0" fontId="0" fillId="0" borderId="2" xfId="0" applyBorder="1" applyAlignment="1">
      <alignment vertical="center"/>
    </xf>
    <xf numFmtId="0" fontId="0" fillId="0" borderId="2" xfId="0" applyBorder="1" applyAlignment="1">
      <alignment wrapText="1" vertical="center" horizontal="left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9970</v>
      </c>
      <c r="B67" s="0" t="inlineStr">
        <is>
          <t xml:space="preserve">Lebo Lebo</t>
        </is>
      </c>
      <c r="C67" s="0" t="inlineStr">
        <is>
          <t xml:space="preserve">2026-09-30</t>
        </is>
      </c>
      <c r="D67" s="0" t="inlineStr">
        <is>
          <t xml:space="preserve">Wednesday</t>
        </is>
      </c>
      <c r="F67" s="0" t="inlineStr">
        <is>
          <t xml:space="preserve">Sunbet</t>
        </is>
      </c>
      <c r="G67" s="0" t="inlineStr">
        <is>
          <t xml:space="preserve">Pretoria</t>
        </is>
      </c>
      <c r="H67" s="0" t="inlineStr">
        <is>
          <t xml:space="preserve">Setup</t>
        </is>
      </c>
      <c r="I67" s="0" t="inlineStr">
        <is>
          <t xml:space="preserve">Normal</t>
        </is>
      </c>
      <c r="J67" s="0" t="inlineStr">
        <is>
          <t xml:space="preserve">07:00</t>
        </is>
      </c>
      <c r="K67" s="0" t="inlineStr">
        <is>
          <t xml:space="preserve">16:00</t>
        </is>
      </c>
      <c r="L67" s="9">
        <v>9</v>
      </c>
      <c r="M67" s="9">
        <v>9</v>
      </c>
      <c r="N67" s="6"/>
      <c r="O67" s="10">
        <f>IF(N67&lt;&gt;"",N67,M67)</f>
      </c>
      <c r="P67" s="4">
        <v>675</v>
      </c>
      <c r="Q67" s="7"/>
      <c r="R67" s="5">
        <f>IF(Q67&lt;&gt;"",Q67,IF(N67&lt;&gt;"",IF(M67&gt;0,ROUND(P67*N67/M67,2),0),P67))</f>
      </c>
      <c r="S67" s="9">
        <v>75</v>
      </c>
      <c r="T67" s="0" t="inlineStr">
        <is>
          <t xml:space="preserve">Student at a venue/collection/setup: 9 h × R75 (owner 29 Sep — R50 is warehouse only)</t>
        </is>
      </c>
      <c r="U67" s="6"/>
      <c r="W67" s="0" t="inlineStr">
        <is>
          <t xml:space="preserve">#10315 Manual overlap review: the same employee has another overlapping entry on 2026-09-30 for 07:00-16:00.</t>
        </is>
      </c>
      <c r="X67" s="0" t="inlineStr">
        <is>
          <t xml:space="preserve">#10315 STILL OPEN — no decision recorded yet (claimed hours used)</t>
        </is>
      </c>
    </row>
    <row r="68">
      <c r="A68" s="0">
        <v>9870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Set up golf day</t>
        </is>
      </c>
      <c r="I68" s="0" t="inlineStr">
        <is>
          <t xml:space="preserve">Normal</t>
        </is>
      </c>
      <c r="J68" s="0" t="inlineStr">
        <is>
          <t xml:space="preserve">05:00</t>
        </is>
      </c>
      <c r="K68" s="0" t="inlineStr">
        <is>
          <t xml:space="preserve">07:00</t>
        </is>
      </c>
      <c r="L68" s="9">
        <v>2</v>
      </c>
      <c r="M68" s="9">
        <v>1.5</v>
      </c>
      <c r="N68" s="6"/>
      <c r="O68" s="10">
        <f>IF(N68&lt;&gt;"",N68,M68)</f>
      </c>
      <c r="P68" s="4">
        <v>142.5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8" s="6"/>
      <c r="V68" s="0" t="inlineStr">
        <is>
          <t xml:space="preserve">#10173</t>
        </is>
      </c>
      <c r="W68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8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9">
      <c r="A69" s="0">
        <v>9871</v>
      </c>
      <c r="B69" s="0" t="inlineStr">
        <is>
          <t xml:space="preserve">Patrick Ngozo</t>
        </is>
      </c>
      <c r="C69" s="0" t="inlineStr">
        <is>
          <t xml:space="preserve">2026-09-25</t>
        </is>
      </c>
      <c r="D69" s="0" t="inlineStr">
        <is>
          <t xml:space="preserve">Friday</t>
        </is>
      </c>
      <c r="E69" s="0" t="inlineStr">
        <is>
          <t xml:space="preserve">YES</t>
        </is>
      </c>
      <c r="F69" s="0" t="inlineStr">
        <is>
          <t xml:space="preserve">Pretoria Country Club</t>
        </is>
      </c>
      <c r="G69" s="0" t="inlineStr">
        <is>
          <t xml:space="preserve">Pretoria</t>
        </is>
      </c>
      <c r="H69" s="0" t="inlineStr">
        <is>
          <t xml:space="preserve">Breakdown</t>
        </is>
      </c>
      <c r="I69" s="0" t="inlineStr">
        <is>
          <t xml:space="preserve">Normal</t>
        </is>
      </c>
      <c r="J69" s="0" t="inlineStr">
        <is>
          <t xml:space="preserve">16:00</t>
        </is>
      </c>
      <c r="K69" s="0" t="inlineStr">
        <is>
          <t xml:space="preserve">19:00</t>
        </is>
      </c>
      <c r="L69" s="9">
        <v>3</v>
      </c>
      <c r="M69" s="9">
        <v>3</v>
      </c>
      <c r="N69" s="6"/>
      <c r="O69" s="10">
        <f>IF(N69&lt;&gt;"",N69,M69)</f>
      </c>
      <c r="P69" s="4">
        <v>285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Venue/event: 3 h × R95</t>
        </is>
      </c>
      <c r="U69" s="6"/>
      <c r="W69" s="0" t="inlineStr">
        <is>
          <t xml:space="preserve">CLEAR: worked 06:30–16:00 that day (paid in payroll n/a); these hours are outside those times.</t>
        </is>
      </c>
      <c r="X69" s="0" t="inlineStr">
        <is>
          <t xml:space="preserve">No review needed</t>
        </is>
      </c>
    </row>
    <row r="70">
      <c r="A70" s="0">
        <v>9869</v>
      </c>
      <c r="B70" s="0" t="inlineStr">
        <is>
          <t xml:space="preserve">Patrick Ngozo</t>
        </is>
      </c>
      <c r="C70" s="0" t="inlineStr">
        <is>
          <t xml:space="preserve">2026-09-26</t>
        </is>
      </c>
      <c r="D70" s="0" t="inlineStr">
        <is>
          <t xml:space="preserve">Saturday</t>
        </is>
      </c>
      <c r="F70" s="0" t="inlineStr">
        <is>
          <t xml:space="preserve">Brooklyn</t>
        </is>
      </c>
      <c r="G70" s="0" t="inlineStr">
        <is>
          <t xml:space="preserve">Pretoria</t>
        </is>
      </c>
      <c r="H70" s="0" t="inlineStr">
        <is>
          <t xml:space="preserve">Set up CDMA</t>
        </is>
      </c>
      <c r="I70" s="0" t="inlineStr">
        <is>
          <t xml:space="preserve">Normal</t>
        </is>
      </c>
      <c r="J70" s="0" t="inlineStr">
        <is>
          <t xml:space="preserve">06:00</t>
        </is>
      </c>
      <c r="K70" s="0" t="inlineStr">
        <is>
          <t xml:space="preserve">13:00</t>
        </is>
      </c>
      <c r="L70" s="9">
        <v>7</v>
      </c>
      <c r="M70" s="9">
        <v>7</v>
      </c>
      <c r="N70" s="6"/>
      <c r="O70" s="10">
        <f>IF(N70&lt;&gt;"",N70,M70)</f>
      </c>
      <c r="P70" s="4">
        <v>665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OWNER CORRECTION: Approved.</t>
        </is>
      </c>
      <c r="U70" s="6"/>
    </row>
    <row r="71">
      <c r="A71" s="0">
        <v>9875</v>
      </c>
      <c r="B71" s="0" t="inlineStr">
        <is>
          <t xml:space="preserve">Patrick Ngozo</t>
        </is>
      </c>
      <c r="C71" s="0" t="inlineStr">
        <is>
          <t xml:space="preserve">2026-09-28</t>
        </is>
      </c>
      <c r="D71" s="0" t="inlineStr">
        <is>
          <t xml:space="preserve">Monday</t>
        </is>
      </c>
      <c r="F71" s="0" t="inlineStr">
        <is>
          <t xml:space="preserve">Protea hotel wanderer</t>
        </is>
      </c>
      <c r="G71" s="0" t="inlineStr">
        <is>
          <t xml:space="preserve">Johannesburg</t>
        </is>
      </c>
      <c r="H71" s="0" t="inlineStr">
        <is>
          <t xml:space="preserve">Breakdown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902.5</v>
      </c>
      <c r="Q71" s="7"/>
      <c r="R71" s="5">
        <f>IF(Q71&lt;&gt;"",Q71,IF(N71&lt;&gt;"",IF(M71&gt;0,ROUND(P71*N71/M71,2),0),P71))</f>
      </c>
      <c r="S71" s="9">
        <v>95</v>
      </c>
      <c r="T71" s="0" t="inlineStr">
        <is>
          <t xml:space="preserve">Venue/event: 9.5 h × R95</t>
        </is>
      </c>
      <c r="U71" s="6"/>
    </row>
    <row r="72">
      <c r="A72" s="0">
        <v>9878</v>
      </c>
      <c r="B72" s="0" t="inlineStr">
        <is>
          <t xml:space="preserve">Patrick Ngozo</t>
        </is>
      </c>
      <c r="C72" s="0" t="inlineStr">
        <is>
          <t xml:space="preserve">2026-09-29</t>
        </is>
      </c>
      <c r="D72" s="0" t="inlineStr">
        <is>
          <t xml:space="preserve">Tuesday</t>
        </is>
      </c>
      <c r="F72" s="0" t="inlineStr">
        <is>
          <t xml:space="preserve">Wearhouse</t>
        </is>
      </c>
      <c r="G72" s="0" t="inlineStr">
        <is>
          <t xml:space="preserve">Meyerton</t>
        </is>
      </c>
      <c r="H72" s="0" t="inlineStr">
        <is>
          <t xml:space="preserve">Loading SundBet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731.25</v>
      </c>
      <c r="Q72" s="7"/>
      <c r="R72" s="5">
        <f>IF(Q72&lt;&gt;"",Q72,IF(N72&lt;&gt;"",IF(M72&gt;0,ROUND(P72*N72/M72,2),0),P72))</f>
      </c>
      <c r="S72" s="9">
        <v>81.25</v>
      </c>
      <c r="T72" s="0" t="inlineStr">
        <is>
          <t xml:space="preserve">Warehouse: 9.5 h − 0.5 h staff meeting 07:00–07:30 (unpaid, R40,63) = 9 h × R81,25</t>
        </is>
      </c>
      <c r="U72" s="6"/>
      <c r="V72" s="0" t="inlineStr">
        <is>
          <t xml:space="preserve">#10189</t>
        </is>
      </c>
    </row>
    <row r="73">
      <c r="A73" s="0">
        <v>9901</v>
      </c>
      <c r="B73" s="0" t="inlineStr">
        <is>
          <t xml:space="preserve">Patrick Ngozo</t>
        </is>
      </c>
      <c r="C73" s="0" t="inlineStr">
        <is>
          <t xml:space="preserve">2026-09-30</t>
        </is>
      </c>
      <c r="D73" s="0" t="inlineStr">
        <is>
          <t xml:space="preserve">Wednesday</t>
        </is>
      </c>
      <c r="F73" s="0" t="inlineStr">
        <is>
          <t xml:space="preserve">SunBet</t>
        </is>
      </c>
      <c r="G73" s="0" t="inlineStr">
        <is>
          <t xml:space="preserve">Pretoria</t>
        </is>
      </c>
      <c r="H73" s="0" t="inlineStr">
        <is>
          <t xml:space="preserve">Set up castle lite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</row>
    <row r="74">
      <c r="A74" s="0">
        <v>9902</v>
      </c>
      <c r="B74" s="0" t="inlineStr">
        <is>
          <t xml:space="preserve">Patrick Ngozo</t>
        </is>
      </c>
      <c r="C74" s="0" t="inlineStr">
        <is>
          <t xml:space="preserve">2026-10-01</t>
        </is>
      </c>
      <c r="D74" s="0" t="inlineStr">
        <is>
          <t xml:space="preserve">Thursday</t>
        </is>
      </c>
      <c r="F74" s="0" t="inlineStr">
        <is>
          <t xml:space="preserve">Warehouse</t>
        </is>
      </c>
      <c r="G74" s="0" t="inlineStr">
        <is>
          <t xml:space="preserve">Meyerton</t>
        </is>
      </c>
      <c r="H74" s="0" t="inlineStr">
        <is>
          <t xml:space="preserve">Loading Polokwane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  <c r="V74" s="0" t="inlineStr">
        <is>
          <t xml:space="preserve">#10234</t>
        </is>
      </c>
    </row>
    <row r="75">
      <c r="A75" s="0">
        <v>9903</v>
      </c>
      <c r="B75" s="0" t="inlineStr">
        <is>
          <t xml:space="preserve">Patrick Ngozo</t>
        </is>
      </c>
      <c r="C75" s="0" t="inlineStr">
        <is>
          <t xml:space="preserve">2026-10-02</t>
        </is>
      </c>
      <c r="D75" s="0" t="inlineStr">
        <is>
          <t xml:space="preserve">Friday</t>
        </is>
      </c>
      <c r="F75" s="0" t="inlineStr">
        <is>
          <t xml:space="preserve">Polokwane</t>
        </is>
      </c>
      <c r="G75" s="0" t="inlineStr">
        <is>
          <t xml:space="preserve">Limpopo</t>
        </is>
      </c>
      <c r="H75" s="0" t="inlineStr">
        <is>
          <t xml:space="preserve">Set up MXD</t>
        </is>
      </c>
      <c r="I75" s="0" t="inlineStr">
        <is>
          <t xml:space="preserve">Normal</t>
        </is>
      </c>
      <c r="J75" s="0" t="inlineStr">
        <is>
          <t xml:space="preserve">06:30</t>
        </is>
      </c>
      <c r="K75" s="0" t="inlineStr">
        <is>
          <t xml:space="preserve">16:00</t>
        </is>
      </c>
      <c r="L75" s="9">
        <v>9.5</v>
      </c>
      <c r="M75" s="9">
        <v>9.5</v>
      </c>
      <c r="N75" s="6"/>
      <c r="O75" s="10">
        <f>IF(N75&lt;&gt;"",N75,M75)</f>
      </c>
      <c r="P75" s="4">
        <v>902.5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Venue/event: 9.5 h × R95</t>
        </is>
      </c>
      <c r="U75" s="6"/>
    </row>
    <row r="76">
      <c r="A76" s="0">
        <v>9922</v>
      </c>
      <c r="B76" s="0" t="inlineStr">
        <is>
          <t xml:space="preserve">Solomon Moyo</t>
        </is>
      </c>
      <c r="C76" s="0" t="inlineStr">
        <is>
          <t xml:space="preserve">2026-09-26</t>
        </is>
      </c>
      <c r="D76" s="0" t="inlineStr">
        <is>
          <t xml:space="preserve">Saturday</t>
        </is>
      </c>
      <c r="F76" s="0" t="inlineStr">
        <is>
          <t xml:space="preserve">SONOP</t>
        </is>
      </c>
      <c r="G76" s="0" t="inlineStr">
        <is>
          <t xml:space="preserve">BROOKLYN</t>
        </is>
      </c>
      <c r="H76" s="0" t="inlineStr">
        <is>
          <t xml:space="preserve">Set up</t>
        </is>
      </c>
      <c r="I76" s="0" t="inlineStr">
        <is>
          <t xml:space="preserve">Normal</t>
        </is>
      </c>
      <c r="J76" s="0" t="inlineStr">
        <is>
          <t xml:space="preserve">06:00</t>
        </is>
      </c>
      <c r="K76" s="0" t="inlineStr">
        <is>
          <t xml:space="preserve">14:00</t>
        </is>
      </c>
      <c r="L76" s="9">
        <v>8</v>
      </c>
      <c r="M76" s="9">
        <v>8</v>
      </c>
      <c r="N76" s="6"/>
      <c r="O76" s="10">
        <f>IF(N76&lt;&gt;"",N76,M76)</f>
      </c>
      <c r="P76" s="4">
        <v>760</v>
      </c>
      <c r="Q76" s="7"/>
      <c r="R76" s="5">
        <f>IF(Q76&lt;&gt;"",Q76,IF(N76&lt;&gt;"",IF(M76&gt;0,ROUND(P76*N76/M76,2),0),P76))</f>
      </c>
      <c r="S76" s="9">
        <v>95</v>
      </c>
      <c r="T76" s="0" t="inlineStr">
        <is>
          <t xml:space="preserve">OWNER CORRECTION: Owner 29 Sep: Sonop setup — the whole team worked to 14:00 (owner confirmed). 06:00–14:00 = 8 h × R95 = R760,00</t>
        </is>
      </c>
      <c r="U76" s="6"/>
    </row>
    <row r="77">
      <c r="A77" s="0">
        <v>9920</v>
      </c>
      <c r="B77" s="0" t="inlineStr">
        <is>
          <t xml:space="preserve">Solomon Moyo</t>
        </is>
      </c>
      <c r="C77" s="0" t="inlineStr">
        <is>
          <t xml:space="preserve">2026-09-27</t>
        </is>
      </c>
      <c r="D77" s="0" t="inlineStr">
        <is>
          <t xml:space="preserve">Sunday</t>
        </is>
      </c>
      <c r="F77" s="0" t="inlineStr">
        <is>
          <t xml:space="preserve">Warehouse</t>
        </is>
      </c>
      <c r="G77" s="0" t="inlineStr">
        <is>
          <t xml:space="preserve">Midvaal</t>
        </is>
      </c>
      <c r="H77" s="0" t="inlineStr">
        <is>
          <t xml:space="preserve">OFFLOADING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11:30</t>
        </is>
      </c>
      <c r="L77" s="9">
        <v>4.5</v>
      </c>
      <c r="M77" s="9">
        <v>4.5</v>
      </c>
      <c r="N77" s="6"/>
      <c r="O77" s="10">
        <f>IF(N77&lt;&gt;"",N77,M77)</f>
      </c>
      <c r="P77" s="4">
        <v>513</v>
      </c>
      <c r="Q77" s="7"/>
      <c r="R77" s="5">
        <f>IF(Q77&lt;&gt;"",Q77,IF(N77&lt;&gt;"",IF(M77&gt;0,ROUND(P77*N77/M77,2),0),P77))</f>
      </c>
      <c r="S77" s="9">
        <v>114</v>
      </c>
      <c r="T77" s="0" t="inlineStr">
        <is>
          <t xml:space="preserve">Venue/event Sunday: 4.5 h × R114 (R95 × 1.2)</t>
        </is>
      </c>
      <c r="U77" s="6"/>
    </row>
    <row r="78">
      <c r="A78" s="0">
        <v>9921</v>
      </c>
      <c r="B78" s="0" t="inlineStr">
        <is>
          <t xml:space="preserve">Solomon Moyo</t>
        </is>
      </c>
      <c r="C78" s="0" t="inlineStr">
        <is>
          <t xml:space="preserve">2026-09-28</t>
        </is>
      </c>
      <c r="D78" s="0" t="inlineStr">
        <is>
          <t xml:space="preserve">Monday</t>
        </is>
      </c>
      <c r="F78" s="0" t="inlineStr">
        <is>
          <t xml:space="preserve">ORLANDO &amp; WANDERERS</t>
        </is>
      </c>
      <c r="G78" s="0" t="inlineStr">
        <is>
          <t xml:space="preserve">JOHANNESBURG</t>
        </is>
      </c>
      <c r="H78" s="0" t="inlineStr">
        <is>
          <t xml:space="preserve">BREAKDOWN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855</v>
      </c>
      <c r="Q78" s="7"/>
      <c r="R78" s="5">
        <f>IF(Q78&lt;&gt;"",Q78,IF(N78&lt;&gt;"",IF(M78&gt;0,ROUND(P78*N78/M78,2),0),P78))</f>
      </c>
      <c r="S78" s="9">
        <v>95</v>
      </c>
      <c r="T78" s="0" t="inlineStr">
        <is>
          <t xml:space="preserve">Venue/event: 9 h × R95</t>
        </is>
      </c>
      <c r="U78" s="6"/>
    </row>
    <row r="79">
      <c r="A79" s="0">
        <v>9919</v>
      </c>
      <c r="B79" s="0" t="inlineStr">
        <is>
          <t xml:space="preserve">Solomon Moyo</t>
        </is>
      </c>
      <c r="C79" s="0" t="inlineStr">
        <is>
          <t xml:space="preserve">2026-09-29</t>
        </is>
      </c>
      <c r="D79" s="0" t="inlineStr">
        <is>
          <t xml:space="preserve">Tuesday</t>
        </is>
      </c>
      <c r="F79" s="0" t="inlineStr">
        <is>
          <t xml:space="preserve">Warehouse</t>
        </is>
      </c>
      <c r="G79" s="0" t="inlineStr">
        <is>
          <t xml:space="preserve">Midvaal</t>
        </is>
      </c>
      <c r="H79" s="0" t="inlineStr">
        <is>
          <t xml:space="preserve">Loading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690.63</v>
      </c>
      <c r="Q79" s="7"/>
      <c r="R79" s="5">
        <f>IF(Q79&lt;&gt;"",Q79,IF(N79&lt;&gt;"",IF(M79&gt;0,ROUND(P79*N79/M79,2),0),P79))</f>
      </c>
      <c r="S79" s="9">
        <v>81.25</v>
      </c>
      <c r="T7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9" s="6"/>
      <c r="V79" s="0" t="inlineStr">
        <is>
          <t xml:space="preserve">#10253</t>
        </is>
      </c>
    </row>
    <row r="80">
      <c r="A80" s="0">
        <v>9918</v>
      </c>
      <c r="B80" s="0" t="inlineStr">
        <is>
          <t xml:space="preserve">Solomon Moyo</t>
        </is>
      </c>
      <c r="C80" s="0" t="inlineStr">
        <is>
          <t xml:space="preserve">2026-09-30</t>
        </is>
      </c>
      <c r="D80" s="0" t="inlineStr">
        <is>
          <t xml:space="preserve">Wednesday</t>
        </is>
      </c>
      <c r="F80" s="0" t="inlineStr">
        <is>
          <t xml:space="preserve">SUN BET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9917</v>
      </c>
      <c r="B81" s="0" t="inlineStr">
        <is>
          <t xml:space="preserve">Solomon Moyo</t>
        </is>
      </c>
      <c r="C81" s="0" t="inlineStr">
        <is>
          <t xml:space="preserve">2026-10-01</t>
        </is>
      </c>
      <c r="D81" s="0" t="inlineStr">
        <is>
          <t xml:space="preserve">Thursday</t>
        </is>
      </c>
      <c r="F81" s="0" t="inlineStr">
        <is>
          <t xml:space="preserve">Botanical Gardens</t>
        </is>
      </c>
      <c r="G81" s="0" t="inlineStr">
        <is>
          <t xml:space="preserve">PRETORIA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9916</v>
      </c>
      <c r="B82" s="0" t="inlineStr">
        <is>
          <t xml:space="preserve">Solomon Moyo</t>
        </is>
      </c>
      <c r="C82" s="0" t="inlineStr">
        <is>
          <t xml:space="preserve">2026-10-02</t>
        </is>
      </c>
      <c r="D82" s="0" t="inlineStr">
        <is>
          <t xml:space="preserve">Friday</t>
        </is>
      </c>
      <c r="F82" s="0" t="inlineStr">
        <is>
          <t xml:space="preserve">ONE WOMAN SHOW</t>
        </is>
      </c>
      <c r="G82" s="0" t="inlineStr">
        <is>
          <t xml:space="preserve">POLOKWANE</t>
        </is>
      </c>
      <c r="H82" s="0" t="inlineStr">
        <is>
          <t xml:space="preserve">Set up</t>
        </is>
      </c>
      <c r="I82" s="0" t="inlineStr">
        <is>
          <t xml:space="preserve">Normal</t>
        </is>
      </c>
      <c r="J82" s="0" t="inlineStr">
        <is>
          <t xml:space="preserve">07:00</t>
        </is>
      </c>
      <c r="K82" s="0" t="inlineStr">
        <is>
          <t xml:space="preserve">16:00</t>
        </is>
      </c>
      <c r="L82" s="9">
        <v>9</v>
      </c>
      <c r="M82" s="9">
        <v>9</v>
      </c>
      <c r="N82" s="6"/>
      <c r="O82" s="10">
        <f>IF(N82&lt;&gt;"",N82,M82)</f>
      </c>
      <c r="P82" s="4">
        <v>855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Venue/event: 9 h × R95</t>
        </is>
      </c>
      <c r="U82" s="6"/>
    </row>
    <row r="83">
      <c r="A83" s="0">
        <v>399</v>
      </c>
      <c r="B83" s="0" t="inlineStr">
        <is>
          <t xml:space="preserve">Takavaudza Chokuda</t>
        </is>
      </c>
      <c r="C83" s="0" t="inlineStr">
        <is>
          <t xml:space="preserve">2026-09-17</t>
        </is>
      </c>
      <c r="D83" s="0" t="inlineStr">
        <is>
          <t xml:space="preserve">Thursday</t>
        </is>
      </c>
      <c r="E83" s="0" t="inlineStr">
        <is>
          <t xml:space="preserve">YES</t>
        </is>
      </c>
      <c r="F83" s="0" t="inlineStr">
        <is>
          <t xml:space="preserve">FNB stadium</t>
        </is>
      </c>
      <c r="G83" s="0" t="inlineStr">
        <is>
          <t xml:space="preserve">Johannesburg</t>
        </is>
      </c>
      <c r="H83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3" s="0" t="inlineStr">
        <is>
          <t xml:space="preserve">Warehouse Team</t>
        </is>
      </c>
      <c r="J83" s="0" t="inlineStr">
        <is>
          <t xml:space="preserve">18:00</t>
        </is>
      </c>
      <c r="K83" s="0" t="inlineStr">
        <is>
          <t xml:space="preserve">21:00</t>
        </is>
      </c>
      <c r="L83" s="9">
        <v>3</v>
      </c>
      <c r="M83" s="9">
        <v>3</v>
      </c>
      <c r="N83" s="6"/>
      <c r="O83" s="10">
        <f>IF(N83&lt;&gt;"",N83,M83)</f>
      </c>
      <c r="P83" s="4">
        <v>285</v>
      </c>
      <c r="Q83" s="7"/>
      <c r="R83" s="5">
        <f>IF(Q83&lt;&gt;"",Q83,IF(N83&lt;&gt;"",IF(M83&gt;0,ROUND(P83*N83/M83,2),0),P83))</f>
      </c>
      <c r="S83" s="9">
        <v>95</v>
      </c>
      <c r="T83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3" s="6"/>
      <c r="W83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3" s="0" t="inlineStr">
        <is>
          <t xml:space="preserve">#10151 DECIDED by Bernie Burness 2026-09-28 16:08: Event/Venue rate chosen — shift #399 R540,00 → R570,00 (Venue/event: 6 h × R95)</t>
        </is>
      </c>
    </row>
    <row r="84">
      <c r="A84" s="0">
        <v>9931</v>
      </c>
      <c r="B84" s="0" t="inlineStr">
        <is>
          <t xml:space="preserve">Takavaudza Chokuda</t>
        </is>
      </c>
      <c r="C84" s="0" t="inlineStr">
        <is>
          <t xml:space="preserve">2026-09-26</t>
        </is>
      </c>
      <c r="D84" s="0" t="inlineStr">
        <is>
          <t xml:space="preserve">Saturday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equipment for Sunbet,spraying, fixing  and electrical  for bars</t>
        </is>
      </c>
      <c r="I84" s="0" t="inlineStr">
        <is>
          <t xml:space="preserve">Warehouse Team</t>
        </is>
      </c>
      <c r="J84" s="0" t="inlineStr">
        <is>
          <t xml:space="preserve">06:00</t>
        </is>
      </c>
      <c r="K84" s="0" t="inlineStr">
        <is>
          <t xml:space="preserve">13:00</t>
        </is>
      </c>
      <c r="L84" s="9">
        <v>7</v>
      </c>
      <c r="M84" s="9">
        <v>7</v>
      </c>
      <c r="N84" s="6"/>
      <c r="O84" s="10">
        <f>IF(N84&lt;&gt;"",N84,M84)</f>
      </c>
      <c r="P84" s="4">
        <v>568.75</v>
      </c>
      <c r="Q84" s="7"/>
      <c r="R84" s="5">
        <f>IF(Q84&lt;&gt;"",Q84,IF(N84&lt;&gt;"",IF(M84&gt;0,ROUND(P84*N84/M84,2),0),P84))</f>
      </c>
      <c r="S84" s="9">
        <v>81.25</v>
      </c>
      <c r="T84" s="0" t="inlineStr">
        <is>
          <t xml:space="preserve">Warehouse: 7 h × R81,25</t>
        </is>
      </c>
      <c r="U84" s="6"/>
      <c r="W84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4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5">
      <c r="A85" s="0">
        <v>9930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Warehouse</t>
        </is>
      </c>
      <c r="G85" s="0" t="inlineStr">
        <is>
          <t xml:space="preserve">Henley-onklip</t>
        </is>
      </c>
      <c r="H85" s="0" t="inlineStr">
        <is>
          <t xml:space="preserve">Preparing  furniture for sunbet, repairing and spraying</t>
        </is>
      </c>
      <c r="I85" s="0" t="inlineStr">
        <is>
          <t xml:space="preserve">Warehouse Team</t>
        </is>
      </c>
      <c r="J85" s="0" t="inlineStr">
        <is>
          <t xml:space="preserve">07:00</t>
        </is>
      </c>
      <c r="K85" s="0" t="inlineStr">
        <is>
          <t xml:space="preserve">12:00</t>
        </is>
      </c>
      <c r="L85" s="9">
        <v>5</v>
      </c>
      <c r="M85" s="9">
        <v>5</v>
      </c>
      <c r="N85" s="6"/>
      <c r="O85" s="10">
        <f>IF(N85&lt;&gt;"",N85,M85)</f>
      </c>
      <c r="P85" s="4">
        <v>570</v>
      </c>
      <c r="Q85" s="7"/>
      <c r="R85" s="5">
        <f>IF(Q85&lt;&gt;"",Q85,IF(N85&lt;&gt;"",IF(M85&gt;0,ROUND(P85*N85/M85,2),0),P85))</f>
      </c>
      <c r="S85" s="9">
        <v>114</v>
      </c>
      <c r="T85" s="0" t="inlineStr">
        <is>
          <t xml:space="preserve">Venue/event Sunday: 5 h × R114 (R95 × 1.2)</t>
        </is>
      </c>
      <c r="U85" s="6"/>
      <c r="W85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5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6">
      <c r="A86" s="0">
        <v>9925</v>
      </c>
      <c r="B86" s="0" t="inlineStr">
        <is>
          <t xml:space="preserve">Takavaudza Chokuda</t>
        </is>
      </c>
      <c r="C86" s="0" t="inlineStr">
        <is>
          <t xml:space="preserve">2026-09-27</t>
        </is>
      </c>
      <c r="D86" s="0" t="inlineStr">
        <is>
          <t xml:space="preserve">Sunday</t>
        </is>
      </c>
      <c r="F86" s="0" t="inlineStr">
        <is>
          <t xml:space="preserve">House</t>
        </is>
      </c>
      <c r="G86" s="0" t="inlineStr">
        <is>
          <t xml:space="preserve">Henley-onklip</t>
        </is>
      </c>
      <c r="H86" s="0" t="inlineStr">
        <is>
          <t xml:space="preserve">Normal</t>
        </is>
      </c>
      <c r="I86" s="0" t="inlineStr">
        <is>
          <t xml:space="preserve">House/Garden</t>
        </is>
      </c>
      <c r="J86" s="0" t="inlineStr">
        <is>
          <t xml:space="preserve">12:30</t>
        </is>
      </c>
      <c r="K86" s="0" t="inlineStr">
        <is>
          <t xml:space="preserve">14:00</t>
        </is>
      </c>
      <c r="L86" s="9">
        <v>1.5</v>
      </c>
      <c r="M86" s="9">
        <v>1.5</v>
      </c>
      <c r="N86" s="6"/>
      <c r="O86" s="10">
        <f>IF(N86&lt;&gt;"",N86,M86)</f>
      </c>
      <c r="P86" s="4">
        <v>112.5</v>
      </c>
      <c r="Q86" s="7"/>
      <c r="R86" s="5">
        <f>IF(Q86&lt;&gt;"",Q86,IF(N86&lt;&gt;"",IF(M86&gt;0,ROUND(P86*N86/M86,2),0),P86))</f>
      </c>
      <c r="S86" s="9">
        <v>75</v>
      </c>
      <c r="T86" s="0" t="inlineStr">
        <is>
          <t xml:space="preserve">Gardener House work Sunday: 1.5 h × R75 (R62,50 × 1.2)</t>
        </is>
      </c>
      <c r="U86" s="6"/>
    </row>
    <row r="87">
      <c r="A87" s="0">
        <v>9929</v>
      </c>
      <c r="B87" s="0" t="inlineStr">
        <is>
          <t xml:space="preserve">Takavaudza Chokuda</t>
        </is>
      </c>
      <c r="C87" s="0" t="inlineStr">
        <is>
          <t xml:space="preserve">2026-09-28</t>
        </is>
      </c>
      <c r="D87" s="0" t="inlineStr">
        <is>
          <t xml:space="preserve">Monday</t>
        </is>
      </c>
      <c r="F87" s="0" t="inlineStr">
        <is>
          <t xml:space="preserve">Wanderas, Orlando pirates</t>
        </is>
      </c>
      <c r="G87" s="0" t="inlineStr">
        <is>
          <t xml:space="preserve">Johannesburg</t>
        </is>
      </c>
      <c r="H87" s="0" t="inlineStr">
        <is>
          <t xml:space="preserve">Strikedown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855</v>
      </c>
      <c r="Q87" s="7"/>
      <c r="R87" s="5">
        <f>IF(Q87&lt;&gt;"",Q87,IF(N87&lt;&gt;"",IF(M87&gt;0,ROUND(P87*N87/M87,2),0),P87))</f>
      </c>
      <c r="S87" s="9">
        <v>95</v>
      </c>
      <c r="T87" s="0" t="inlineStr">
        <is>
          <t xml:space="preserve">Venue/event: 9 h × R95</t>
        </is>
      </c>
      <c r="U87" s="6"/>
      <c r="W87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7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8">
      <c r="A88" s="0">
        <v>9928</v>
      </c>
      <c r="B88" s="0" t="inlineStr">
        <is>
          <t xml:space="preserve">Takavaudza Chokuda</t>
        </is>
      </c>
      <c r="C88" s="0" t="inlineStr">
        <is>
          <t xml:space="preserve">2026-09-29</t>
        </is>
      </c>
      <c r="D88" s="0" t="inlineStr">
        <is>
          <t xml:space="preserve">Tuesday</t>
        </is>
      </c>
      <c r="F88" s="0" t="inlineStr">
        <is>
          <t xml:space="preserve">Warehouse</t>
        </is>
      </c>
      <c r="G88" s="0" t="inlineStr">
        <is>
          <t xml:space="preserve">Henley-onklip</t>
        </is>
      </c>
      <c r="H88" s="0" t="inlineStr">
        <is>
          <t xml:space="preserve">Fixing, repairing and loading  for sunset and botanical gardens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690.63</v>
      </c>
      <c r="Q88" s="7"/>
      <c r="R88" s="5">
        <f>IF(Q88&lt;&gt;"",Q88,IF(N88&lt;&gt;"",IF(M88&gt;0,ROUND(P88*N88/M88,2),0),P88))</f>
      </c>
      <c r="S88" s="9">
        <v>81.25</v>
      </c>
      <c r="T88" s="0" t="inlineStr">
        <is>
          <t xml:space="preserve">Warehouse: 9 h − 0.5 h staff meeting 07:00–07:30 (unpaid, R40,63) = 8.5 h × R81,25</t>
        </is>
      </c>
      <c r="U88" s="6"/>
      <c r="W88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8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9">
      <c r="A89" s="0">
        <v>9927</v>
      </c>
      <c r="B89" s="0" t="inlineStr">
        <is>
          <t xml:space="preserve">Takavaudza Chokuda</t>
        </is>
      </c>
      <c r="C89" s="0" t="inlineStr">
        <is>
          <t xml:space="preserve">2026-09-30</t>
        </is>
      </c>
      <c r="D89" s="0" t="inlineStr">
        <is>
          <t xml:space="preserve">Wednesday</t>
        </is>
      </c>
      <c r="F89" s="0" t="inlineStr">
        <is>
          <t xml:space="preserve">Sunbet</t>
        </is>
      </c>
      <c r="G89" s="0" t="inlineStr">
        <is>
          <t xml:space="preserve">Pretoria</t>
        </is>
      </c>
      <c r="H89" s="0" t="inlineStr">
        <is>
          <t xml:space="preserve">Set up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9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90">
      <c r="A90" s="0">
        <v>9926</v>
      </c>
      <c r="B90" s="0" t="inlineStr">
        <is>
          <t xml:space="preserve">Takavaudza Chokuda</t>
        </is>
      </c>
      <c r="C90" s="0" t="inlineStr">
        <is>
          <t xml:space="preserve">2026-10-01</t>
        </is>
      </c>
      <c r="D90" s="0" t="inlineStr">
        <is>
          <t xml:space="preserve">Thursday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Equipment  repairing and fixing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90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1">
      <c r="A91" s="0">
        <v>9923</v>
      </c>
      <c r="B91" s="0" t="inlineStr">
        <is>
          <t xml:space="preserve">Takavaudza Chokuda</t>
        </is>
      </c>
      <c r="C91" s="0" t="inlineStr">
        <is>
          <t xml:space="preserve">2026-10-02</t>
        </is>
      </c>
      <c r="D91" s="0" t="inlineStr">
        <is>
          <t xml:space="preserve">Friday</t>
        </is>
      </c>
      <c r="F91" s="0" t="inlineStr">
        <is>
          <t xml:space="preserve">Warehouse</t>
        </is>
      </c>
      <c r="G91" s="0" t="inlineStr">
        <is>
          <t xml:space="preserve">Henley-onklip</t>
        </is>
      </c>
      <c r="H91" s="0" t="inlineStr">
        <is>
          <t xml:space="preserve">Repairing and fixing  equipment</t>
        </is>
      </c>
      <c r="I91" s="0" t="inlineStr">
        <is>
          <t xml:space="preserve">Warehouse Team</t>
        </is>
      </c>
      <c r="J91" s="0" t="inlineStr">
        <is>
          <t xml:space="preserve">07:00</t>
        </is>
      </c>
      <c r="K91" s="0" t="inlineStr">
        <is>
          <t xml:space="preserve">16:00</t>
        </is>
      </c>
      <c r="L91" s="9">
        <v>9</v>
      </c>
      <c r="M91" s="9">
        <v>9</v>
      </c>
      <c r="N91" s="6"/>
      <c r="O91" s="10">
        <f>IF(N91&lt;&gt;"",N91,M91)</f>
      </c>
      <c r="P91" s="4">
        <v>855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9 h × R95</t>
        </is>
      </c>
      <c r="U91" s="6"/>
      <c r="W91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1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2">
      <c r="A92" s="0">
        <v>9954</v>
      </c>
      <c r="B92" s="0" t="inlineStr">
        <is>
          <t xml:space="preserve">Thandanani Nkala</t>
        </is>
      </c>
      <c r="C92" s="0" t="inlineStr">
        <is>
          <t xml:space="preserve">2026-09-26</t>
        </is>
      </c>
      <c r="D92" s="0" t="inlineStr">
        <is>
          <t xml:space="preserve">Saturday</t>
        </is>
      </c>
      <c r="F92" s="0" t="inlineStr">
        <is>
          <t xml:space="preserve">Sonop</t>
        </is>
      </c>
      <c r="G92" s="0" t="inlineStr">
        <is>
          <t xml:space="preserve">Pretoria</t>
        </is>
      </c>
      <c r="H92" s="0" t="inlineStr">
        <is>
          <t xml:space="preserve">Sonop First Year</t>
        </is>
      </c>
      <c r="I92" s="0" t="inlineStr">
        <is>
          <t xml:space="preserve">Normal</t>
        </is>
      </c>
      <c r="J92" s="0" t="inlineStr">
        <is>
          <t xml:space="preserve">06:00</t>
        </is>
      </c>
      <c r="K92" s="0" t="inlineStr">
        <is>
          <t xml:space="preserve">14:00</t>
        </is>
      </c>
      <c r="L92" s="9">
        <v>8</v>
      </c>
      <c r="M92" s="9">
        <v>8</v>
      </c>
      <c r="N92" s="6"/>
      <c r="O92" s="10">
        <f>IF(N92&lt;&gt;"",N92,M92)</f>
      </c>
      <c r="P92" s="4">
        <v>760</v>
      </c>
      <c r="Q92" s="7"/>
      <c r="R92" s="5">
        <f>IF(Q92&lt;&gt;"",Q92,IF(N92&lt;&gt;"",IF(M92&gt;0,ROUND(P92*N92/M92,2),0),P92))</f>
      </c>
      <c r="S92" s="9">
        <v>95</v>
      </c>
      <c r="T92" s="0" t="inlineStr">
        <is>
          <t xml:space="preserve">Venue/event: 8 h × R95</t>
        </is>
      </c>
      <c r="U92" s="6"/>
    </row>
    <row r="93">
      <c r="A93" s="0">
        <v>9960</v>
      </c>
      <c r="B93" s="0" t="inlineStr">
        <is>
          <t xml:space="preserve">Thandanani Nkala</t>
        </is>
      </c>
      <c r="C93" s="0" t="inlineStr">
        <is>
          <t xml:space="preserve">2026-09-27</t>
        </is>
      </c>
      <c r="D93" s="0" t="inlineStr">
        <is>
          <t xml:space="preserve">Sunday</t>
        </is>
      </c>
      <c r="F93" s="0" t="inlineStr">
        <is>
          <t xml:space="preserve">Warehouse</t>
        </is>
      </c>
      <c r="G93" s="0" t="inlineStr">
        <is>
          <t xml:space="preserve">Highbury</t>
        </is>
      </c>
      <c r="H93" s="0" t="inlineStr">
        <is>
          <t xml:space="preserve">Offloading, Preparing fir Strike downs and Cleaning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11:30</t>
        </is>
      </c>
      <c r="L93" s="9">
        <v>4.5</v>
      </c>
      <c r="M93" s="9">
        <v>4.5</v>
      </c>
      <c r="N93" s="6"/>
      <c r="O93" s="10">
        <f>IF(N93&lt;&gt;"",N93,M93)</f>
      </c>
      <c r="P93" s="4">
        <v>513</v>
      </c>
      <c r="Q93" s="7"/>
      <c r="R93" s="5">
        <f>IF(Q93&lt;&gt;"",Q93,IF(N93&lt;&gt;"",IF(M93&gt;0,ROUND(P93*N93/M93,2),0),P93))</f>
      </c>
      <c r="S93" s="9">
        <v>114</v>
      </c>
      <c r="T93" s="0" t="inlineStr">
        <is>
          <t xml:space="preserve">Venue/event Sunday: 4.5 h × R114 (R95 × 1.2)</t>
        </is>
      </c>
      <c r="U93" s="6"/>
    </row>
    <row r="94">
      <c r="A94" s="0">
        <v>9959</v>
      </c>
      <c r="B94" s="0" t="inlineStr">
        <is>
          <t xml:space="preserve">Thandanani Nkala</t>
        </is>
      </c>
      <c r="C94" s="0" t="inlineStr">
        <is>
          <t xml:space="preserve">2026-09-28</t>
        </is>
      </c>
      <c r="D94" s="0" t="inlineStr">
        <is>
          <t xml:space="preserve">Monday</t>
        </is>
      </c>
      <c r="F94" s="0" t="inlineStr">
        <is>
          <t xml:space="preserve">Orlando Amstel Arena/Wanderers Stadium/Warehouse</t>
        </is>
      </c>
      <c r="G94" s="0" t="inlineStr">
        <is>
          <t xml:space="preserve">Soweto and Ilovo Johannesburg</t>
        </is>
      </c>
      <c r="H94" s="0" t="inlineStr">
        <is>
          <t xml:space="preserve">Strike Down and Offloading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855</v>
      </c>
      <c r="Q94" s="7"/>
      <c r="R94" s="5">
        <f>IF(Q94&lt;&gt;"",Q94,IF(N94&lt;&gt;"",IF(M94&gt;0,ROUND(P94*N94/M94,2),0),P94))</f>
      </c>
      <c r="S94" s="9">
        <v>95</v>
      </c>
      <c r="T94" s="0" t="inlineStr">
        <is>
          <t xml:space="preserve">OWNER CORRECTION: Owner 30 Sep 2026: same team, same rate — Mon 28 Sep strike-down (Orlando / Wanderers / Sonop) team all 9 h × R95 = R855. Was R750 unpriced.</t>
        </is>
      </c>
      <c r="U94" s="6"/>
      <c r="V94" s="0" t="inlineStr">
        <is>
          <t xml:space="preserve">#10301</t>
        </is>
      </c>
    </row>
    <row r="95">
      <c r="A95" s="0">
        <v>9958</v>
      </c>
      <c r="B95" s="0" t="inlineStr">
        <is>
          <t xml:space="preserve">Thandanani Nkala</t>
        </is>
      </c>
      <c r="C95" s="0" t="inlineStr">
        <is>
          <t xml:space="preserve">2026-09-29</t>
        </is>
      </c>
      <c r="D95" s="0" t="inlineStr">
        <is>
          <t xml:space="preserve">Tuesday</t>
        </is>
      </c>
      <c r="F95" s="0" t="inlineStr">
        <is>
          <t xml:space="preserve">Warehouse</t>
        </is>
      </c>
      <c r="G95" s="0" t="inlineStr">
        <is>
          <t xml:space="preserve">Highbury</t>
        </is>
      </c>
      <c r="H95" s="0" t="inlineStr">
        <is>
          <t xml:space="preserve">Preparing Equipment and Loading for Sunbet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690.63</v>
      </c>
      <c r="Q95" s="7"/>
      <c r="R95" s="5">
        <f>IF(Q95&lt;&gt;"",Q95,IF(N95&lt;&gt;"",IF(M95&gt;0,ROUND(P95*N95/M95,2),0),P95))</f>
      </c>
      <c r="S95" s="9">
        <v>81.25</v>
      </c>
      <c r="T95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5" s="6"/>
      <c r="V95" s="0" t="inlineStr">
        <is>
          <t xml:space="preserve">#10299</t>
        </is>
      </c>
    </row>
    <row r="96">
      <c r="A96" s="0">
        <v>9957</v>
      </c>
      <c r="B96" s="0" t="inlineStr">
        <is>
          <t xml:space="preserve">Thandanani Nkala</t>
        </is>
      </c>
      <c r="C96" s="0" t="inlineStr">
        <is>
          <t xml:space="preserve">2026-09-30</t>
        </is>
      </c>
      <c r="D96" s="0" t="inlineStr">
        <is>
          <t xml:space="preserve">Wednesday</t>
        </is>
      </c>
      <c r="F96" s="0" t="inlineStr">
        <is>
          <t xml:space="preserve">Sunbet Arena</t>
        </is>
      </c>
      <c r="G96" s="0" t="inlineStr">
        <is>
          <t xml:space="preserve">Pretoria</t>
        </is>
      </c>
      <c r="H96" s="0" t="inlineStr">
        <is>
          <t xml:space="preserve">Set Up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9956</v>
      </c>
      <c r="B97" s="0" t="inlineStr">
        <is>
          <t xml:space="preserve">Thandanani Nkala</t>
        </is>
      </c>
      <c r="C97" s="0" t="inlineStr">
        <is>
          <t xml:space="preserve">2026-10-01</t>
        </is>
      </c>
      <c r="D97" s="0" t="inlineStr">
        <is>
          <t xml:space="preserve">Thursday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9955</v>
      </c>
      <c r="B98" s="0" t="inlineStr">
        <is>
          <t xml:space="preserve">Thandanani Nkala</t>
        </is>
      </c>
      <c r="C98" s="0" t="inlineStr">
        <is>
          <t xml:space="preserve">2026-10-02</t>
        </is>
      </c>
      <c r="D98" s="0" t="inlineStr">
        <is>
          <t xml:space="preserve">Friday</t>
        </is>
      </c>
      <c r="F98" s="0" t="inlineStr">
        <is>
          <t xml:space="preserve">Pretoria Botanical Gardens</t>
        </is>
      </c>
      <c r="G98" s="0" t="inlineStr">
        <is>
          <t xml:space="preserve">Pretoria</t>
        </is>
      </c>
      <c r="H98" s="0" t="inlineStr">
        <is>
          <t xml:space="preserve">Final Set Up for Homecoming Africa</t>
        </is>
      </c>
      <c r="I98" s="0" t="inlineStr">
        <is>
          <t xml:space="preserve">Normal</t>
        </is>
      </c>
      <c r="J98" s="0" t="inlineStr">
        <is>
          <t xml:space="preserve">07:00</t>
        </is>
      </c>
      <c r="K98" s="0" t="inlineStr">
        <is>
          <t xml:space="preserve">16:00</t>
        </is>
      </c>
      <c r="L98" s="9">
        <v>9</v>
      </c>
      <c r="M98" s="9">
        <v>9</v>
      </c>
      <c r="N98" s="6"/>
      <c r="O98" s="10">
        <f>IF(N98&lt;&gt;"",N98,M98)</f>
      </c>
      <c r="P98" s="4">
        <v>855</v>
      </c>
      <c r="Q98" s="7"/>
      <c r="R98" s="5">
        <f>IF(Q98&lt;&gt;"",Q98,IF(N98&lt;&gt;"",IF(M98&gt;0,ROUND(P98*N98/M98,2),0),P98))</f>
      </c>
      <c r="S98" s="9">
        <v>95</v>
      </c>
      <c r="T98" s="0" t="inlineStr">
        <is>
          <t xml:space="preserve">Venue/event: 9 h × R95</t>
        </is>
      </c>
      <c r="U98" s="6"/>
    </row>
    <row r="99">
      <c r="A99" s="0">
        <v>9876</v>
      </c>
      <c r="B99" s="0" t="inlineStr">
        <is>
          <t xml:space="preserve">Thina Dyani</t>
        </is>
      </c>
      <c r="C99" s="0" t="inlineStr">
        <is>
          <t xml:space="preserve">2026-09-24</t>
        </is>
      </c>
      <c r="D99" s="0" t="inlineStr">
        <is>
          <t xml:space="preserve">Thursday</t>
        </is>
      </c>
      <c r="E99" s="0" t="inlineStr">
        <is>
          <t xml:space="preserve">YES</t>
        </is>
      </c>
      <c r="F99" s="0" t="inlineStr">
        <is>
          <t xml:space="preserve">Heritage Day weekend — owner allowance</t>
        </is>
      </c>
      <c r="G99" s="0" t="inlineStr">
        <is>
          <t xml:space="preserve">Warehouse</t>
        </is>
      </c>
      <c r="H99" s="0" t="inlineStr">
        <is>
          <t xml:space="preserve">Owner allowance R650 for the Heritage Day long weekend (owner 28 Sep) — set amount, not hours</t>
        </is>
      </c>
      <c r="I99" s="0" t="inlineStr">
        <is>
          <t xml:space="preserve">Normal</t>
        </is>
      </c>
      <c r="J99" s="0" t="inlineStr">
        <is>
          <t xml:space="preserve">00:00</t>
        </is>
      </c>
      <c r="K99" s="0" t="inlineStr">
        <is>
          <t xml:space="preserve">00:00</t>
        </is>
      </c>
      <c r="L99" s="9">
        <v>0</v>
      </c>
      <c r="M99" s="9">
        <v>0</v>
      </c>
      <c r="N99" s="6"/>
      <c r="O99" s="10">
        <f>IF(N99&lt;&gt;"",N99,M99)</f>
      </c>
      <c r="P99" s="4">
        <v>650</v>
      </c>
      <c r="Q99" s="7"/>
      <c r="R99" s="5">
        <f>IF(Q99&lt;&gt;"",Q99,IF(N99&lt;&gt;"",IF(M99&gt;0,ROUND(P99*N99/M99,2),0),P99))</f>
      </c>
      <c r="S99" s="9">
        <v>0</v>
      </c>
      <c r="T99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9" s="6"/>
      <c r="W99" s="0" t="inlineStr">
        <is>
          <t xml:space="preserve">CLEAR: nothing else paid for this day.</t>
        </is>
      </c>
      <c r="X99" s="0" t="inlineStr">
        <is>
          <t xml:space="preserve">No review needed</t>
        </is>
      </c>
    </row>
    <row r="100">
      <c r="A100" s="0">
        <v>9909</v>
      </c>
      <c r="B100" s="0" t="inlineStr">
        <is>
          <t xml:space="preserve">Tsotlego Petrus Malakoane</t>
        </is>
      </c>
      <c r="C100" s="0" t="inlineStr">
        <is>
          <t xml:space="preserve">2026-09-26</t>
        </is>
      </c>
      <c r="D100" s="0" t="inlineStr">
        <is>
          <t xml:space="preserve">Saturday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Re-packing</t>
        </is>
      </c>
      <c r="I100" s="0" t="inlineStr">
        <is>
          <t xml:space="preserve">Normal</t>
        </is>
      </c>
      <c r="J100" s="0" t="inlineStr">
        <is>
          <t xml:space="preserve">07:00</t>
        </is>
      </c>
      <c r="K100" s="0" t="inlineStr">
        <is>
          <t xml:space="preserve">12:00</t>
        </is>
      </c>
      <c r="L100" s="9">
        <v>5</v>
      </c>
      <c r="M100" s="9">
        <v>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80</v>
      </c>
      <c r="T100" s="0" t="inlineStr">
        <is>
          <t xml:space="preserve">Petrus Saturday: R640 set day rate (06–16)</t>
        </is>
      </c>
      <c r="U100" s="6"/>
    </row>
    <row r="101">
      <c r="A101" s="0">
        <v>9904</v>
      </c>
      <c r="B101" s="0" t="inlineStr">
        <is>
          <t xml:space="preserve">Tsotlego Petrus Malakoane</t>
        </is>
      </c>
      <c r="C101" s="0" t="inlineStr">
        <is>
          <t xml:space="preserve">2026-09-28</t>
        </is>
      </c>
      <c r="D101" s="0" t="inlineStr">
        <is>
          <t xml:space="preserve">Monday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Offloading, recieving &amp; fridges cleaning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9908</v>
      </c>
      <c r="B102" s="0" t="inlineStr">
        <is>
          <t xml:space="preserve">Tsotlego Petrus Malakoane</t>
        </is>
      </c>
      <c r="C102" s="0" t="inlineStr">
        <is>
          <t xml:space="preserve">2026-09-29</t>
        </is>
      </c>
      <c r="D102" s="0" t="inlineStr">
        <is>
          <t xml:space="preserve">Tuesday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Load &amp; Recieving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9907</v>
      </c>
      <c r="B103" s="0" t="inlineStr">
        <is>
          <t xml:space="preserve">Tsotlego Petrus Malakoane</t>
        </is>
      </c>
      <c r="C103" s="0" t="inlineStr">
        <is>
          <t xml:space="preserve">2026-09-30</t>
        </is>
      </c>
      <c r="D103" s="0" t="inlineStr">
        <is>
          <t xml:space="preserve">Wednesday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Cleaning&amp;sorting dustbins</t>
        </is>
      </c>
      <c r="I103" s="0" t="inlineStr">
        <is>
          <t xml:space="preserve">Warehouse Team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9906</v>
      </c>
      <c r="B104" s="0" t="inlineStr">
        <is>
          <t xml:space="preserve">Tsotlego Petrus Malakoane</t>
        </is>
      </c>
      <c r="C104" s="0" t="inlineStr">
        <is>
          <t xml:space="preserve">2026-10-01</t>
        </is>
      </c>
      <c r="D104" s="0" t="inlineStr">
        <is>
          <t xml:space="preserve">Thursday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Loading &amp; Re-packing</t>
        </is>
      </c>
      <c r="I104" s="0" t="inlineStr">
        <is>
          <t xml:space="preserve">Normal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5">
      <c r="A105" s="0">
        <v>9905</v>
      </c>
      <c r="B105" s="0" t="inlineStr">
        <is>
          <t xml:space="preserve">Tsotlego Petrus Malakoane</t>
        </is>
      </c>
      <c r="C105" s="0" t="inlineStr">
        <is>
          <t xml:space="preserve">2026-10-02</t>
        </is>
      </c>
      <c r="D105" s="0" t="inlineStr">
        <is>
          <t xml:space="preserve">Friday</t>
        </is>
      </c>
      <c r="F105" s="0" t="inlineStr">
        <is>
          <t xml:space="preserve">Warehouse</t>
        </is>
      </c>
      <c r="G105" s="0" t="inlineStr">
        <is>
          <t xml:space="preserve">Henley on klip</t>
        </is>
      </c>
      <c r="H105" s="0" t="inlineStr">
        <is>
          <t xml:space="preserve">Recieving &amp; cleaning</t>
        </is>
      </c>
      <c r="I105" s="0" t="inlineStr">
        <is>
          <t xml:space="preserve">Warehouse Team</t>
        </is>
      </c>
      <c r="J105" s="0" t="inlineStr">
        <is>
          <t xml:space="preserve">06:30</t>
        </is>
      </c>
      <c r="K105" s="0" t="inlineStr">
        <is>
          <t xml:space="preserve">16:00</t>
        </is>
      </c>
      <c r="L105" s="9">
        <v>9.5</v>
      </c>
      <c r="M105" s="9">
        <v>9.5</v>
      </c>
      <c r="N105" s="6"/>
      <c r="O105" s="10">
        <f>IF(N105&lt;&gt;"",N105,M105)</f>
      </c>
      <c r="P105" s="4">
        <v>640</v>
      </c>
      <c r="Q105" s="7"/>
      <c r="R105" s="5">
        <f>IF(Q105&lt;&gt;"",Q105,IF(N105&lt;&gt;"",IF(M105&gt;0,ROUND(P105*N105/M105,2),0),P105))</f>
      </c>
      <c r="S105" s="9">
        <v>55</v>
      </c>
      <c r="T105" s="0" t="inlineStr">
        <is>
          <t xml:space="preserve">Petrus weekday: R640 set day rate (06–16)</t>
        </is>
      </c>
      <c r="U105" s="6"/>
    </row>
    <row r="107">
      <c r="A107" s="1" t="inlineStr">
        <is>
          <t xml:space="preserve">GRAND TOTAL</t>
        </is>
      </c>
      <c r="L107" s="10">
        <f>SUM(L5:L105)</f>
      </c>
      <c r="M107" s="10">
        <f>SUM(M5:M105)</f>
      </c>
      <c r="O107" s="10">
        <f>SUM(O5:O105)</f>
      </c>
      <c r="P107" s="5">
        <f>SUM(P5:P105)</f>
      </c>
      <c r="R107" s="5">
        <f>SUM(R5:R105)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8" customWidth="1"/>
    <col min="2" max="2" width="6" customWidth="1"/>
    <col min="3" max="3" width="11" customWidth="1"/>
    <col min="4" max="4" width="6" customWidth="1"/>
    <col min="5" max="5" width="11" customWidth="1"/>
    <col min="6" max="6" width="6" customWidth="1"/>
    <col min="7" max="7" width="11" customWidth="1"/>
    <col min="8" max="8" width="6" customWidth="1"/>
    <col min="9" max="9" width="11" customWidth="1"/>
    <col min="10" max="10" width="6" customWidth="1"/>
    <col min="11" max="11" width="11" customWidth="1"/>
    <col min="12" max="12" width="6" customWidth="1"/>
    <col min="13" max="13" width="11" customWidth="1"/>
    <col min="14" max="14" width="6" customWidth="1"/>
    <col min="15" max="15" width="11" customWidth="1"/>
    <col min="16" max="16" width="7" customWidth="1"/>
    <col min="17" max="17" width="11" customWidth="1"/>
    <col min="18" max="18" width="13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5" customWidth="1"/>
    <col min="28" max="28" width="95" customWidth="1"/>
  </cols>
  <sheetData>
    <row r="1" ht="22" customHeight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  <c r="AB1" s="2" t="inlineStr">
        <is>
          <t xml:space="preserve">DEDUCTION NOTES — why we are deducting (for the auditor)</t>
        </is>
      </c>
    </row>
    <row r="2" ht="22" customHeight="1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34" customHeight="1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7" t="inlineStr">
        <is>
          <t xml:space="preserve">Bhekizitha Maphosa</t>
        </is>
      </c>
      <c r="B4" s="16">
        <f>SUMIFS('Wage Detail Linked'!$O$5:$O$105,'Wage Detail Linked'!$B$5:$B$105,$A4,'Wage Detail Linked'!$C$5:$C$105,B$2,'Wage Detail Linked'!$E$5:$E$105,"")</f>
      </c>
      <c r="C4" s="4">
        <f>IF(SUMIFS('Wage Detail Linked'!$O$5:$O$105,'Wage Detail Linked'!$B$5:$B$105,$A4,'Wage Detail Linked'!$C$5:$C$105,B$2,'Wage Detail Linked'!$E$5:$E$105,"")=0,IF(B4&gt;0,ROUND(B4*90,2),0),ROUND(SUMIFS('Wage Detail Linked'!$R$5:$R$105,'Wage Detail Linked'!$B$5:$B$105,$A4,'Wage Detail Linked'!$C$5:$C$105,B$2,'Wage Detail Linked'!$E$5:$E$105,"")*B4/SUMIFS('Wage Detail Linked'!$O$5:$O$105,'Wage Detail Linked'!$B$5:$B$105,$A4,'Wage Detail Linked'!$C$5:$C$105,B$2,'Wage Detail Linked'!$E$5:$E$105,""),2))</f>
      </c>
      <c r="D4" s="16">
        <f>SUMIFS('Wage Detail Linked'!$O$5:$O$105,'Wage Detail Linked'!$B$5:$B$105,$A4,'Wage Detail Linked'!$C$5:$C$105,D$2,'Wage Detail Linked'!$E$5:$E$105,"")</f>
      </c>
      <c r="E4" s="4">
        <f>IF(SUMIFS('Wage Detail Linked'!$O$5:$O$105,'Wage Detail Linked'!$B$5:$B$105,$A4,'Wage Detail Linked'!$C$5:$C$105,D$2,'Wage Detail Linked'!$E$5:$E$105,"")=0,IF(D4&gt;0,ROUND(D4*90,2),0),ROUND(SUMIFS('Wage Detail Linked'!$R$5:$R$105,'Wage Detail Linked'!$B$5:$B$105,$A4,'Wage Detail Linked'!$C$5:$C$105,D$2,'Wage Detail Linked'!$E$5:$E$105,"")*D4/SUMIFS('Wage Detail Linked'!$O$5:$O$105,'Wage Detail Linked'!$B$5:$B$105,$A4,'Wage Detail Linked'!$C$5:$C$105,D$2,'Wage Detail Linked'!$E$5:$E$105,""),2))</f>
      </c>
      <c r="F4" s="16">
        <f>SUMIFS('Wage Detail Linked'!$O$5:$O$105,'Wage Detail Linked'!$B$5:$B$105,$A4,'Wage Detail Linked'!$C$5:$C$105,F$2,'Wage Detail Linked'!$E$5:$E$105,"")</f>
      </c>
      <c r="G4" s="4">
        <f>IF(SUMIFS('Wage Detail Linked'!$O$5:$O$105,'Wage Detail Linked'!$B$5:$B$105,$A4,'Wage Detail Linked'!$C$5:$C$105,F$2,'Wage Detail Linked'!$E$5:$E$105,"")=0,IF(F4&gt;0,ROUND(F4*90,2),0),ROUND(SUMIFS('Wage Detail Linked'!$R$5:$R$105,'Wage Detail Linked'!$B$5:$B$105,$A4,'Wage Detail Linked'!$C$5:$C$105,F$2,'Wage Detail Linked'!$E$5:$E$105,"")*F4/SUMIFS('Wage Detail Linked'!$O$5:$O$105,'Wage Detail Linked'!$B$5:$B$105,$A4,'Wage Detail Linked'!$C$5:$C$105,F$2,'Wage Detail Linked'!$E$5:$E$105,""),2))</f>
      </c>
      <c r="H4" s="16">
        <f>SUMIFS('Wage Detail Linked'!$O$5:$O$105,'Wage Detail Linked'!$B$5:$B$105,$A4,'Wage Detail Linked'!$C$5:$C$105,H$2,'Wage Detail Linked'!$E$5:$E$105,"")</f>
      </c>
      <c r="I4" s="4">
        <f>IF(SUMIFS('Wage Detail Linked'!$O$5:$O$105,'Wage Detail Linked'!$B$5:$B$105,$A4,'Wage Detail Linked'!$C$5:$C$105,H$2,'Wage Detail Linked'!$E$5:$E$105,"")=0,IF(H4&gt;0,ROUND(H4*90,2),0),ROUND(SUMIFS('Wage Detail Linked'!$R$5:$R$105,'Wage Detail Linked'!$B$5:$B$105,$A4,'Wage Detail Linked'!$C$5:$C$105,H$2,'Wage Detail Linked'!$E$5:$E$105,"")*H4/SUMIFS('Wage Detail Linked'!$O$5:$O$105,'Wage Detail Linked'!$B$5:$B$105,$A4,'Wage Detail Linked'!$C$5:$C$105,H$2,'Wage Detail Linked'!$E$5:$E$105,""),2))</f>
      </c>
      <c r="J4" s="16">
        <f>SUMIFS('Wage Detail Linked'!$O$5:$O$105,'Wage Detail Linked'!$B$5:$B$105,$A4,'Wage Detail Linked'!$C$5:$C$105,J$2,'Wage Detail Linked'!$E$5:$E$105,"")</f>
      </c>
      <c r="K4" s="4">
        <f>IF(SUMIFS('Wage Detail Linked'!$O$5:$O$105,'Wage Detail Linked'!$B$5:$B$105,$A4,'Wage Detail Linked'!$C$5:$C$105,J$2,'Wage Detail Linked'!$E$5:$E$105,"")=0,IF(J4&gt;0,ROUND(J4*90,2),0),ROUND(SUMIFS('Wage Detail Linked'!$R$5:$R$105,'Wage Detail Linked'!$B$5:$B$105,$A4,'Wage Detail Linked'!$C$5:$C$105,J$2,'Wage Detail Linked'!$E$5:$E$105,"")*J4/SUMIFS('Wage Detail Linked'!$O$5:$O$105,'Wage Detail Linked'!$B$5:$B$105,$A4,'Wage Detail Linked'!$C$5:$C$105,J$2,'Wage Detail Linked'!$E$5:$E$105,""),2))</f>
      </c>
      <c r="L4" s="16">
        <f>SUMIFS('Wage Detail Linked'!$O$5:$O$105,'Wage Detail Linked'!$B$5:$B$105,$A4,'Wage Detail Linked'!$C$5:$C$105,L$2,'Wage Detail Linked'!$E$5:$E$105,"")</f>
      </c>
      <c r="M4" s="4">
        <f>IF(SUMIFS('Wage Detail Linked'!$O$5:$O$105,'Wage Detail Linked'!$B$5:$B$105,$A4,'Wage Detail Linked'!$C$5:$C$105,L$2,'Wage Detail Linked'!$E$5:$E$105,"")=0,IF(L4&gt;0,ROUND(L4*90,2),0),ROUND(SUMIFS('Wage Detail Linked'!$R$5:$R$105,'Wage Detail Linked'!$B$5:$B$105,$A4,'Wage Detail Linked'!$C$5:$C$105,L$2,'Wage Detail Linked'!$E$5:$E$105,"")*L4/SUMIFS('Wage Detail Linked'!$O$5:$O$105,'Wage Detail Linked'!$B$5:$B$105,$A4,'Wage Detail Linked'!$C$5:$C$105,L$2,'Wage Detail Linked'!$E$5:$E$105,""),2))</f>
      </c>
      <c r="N4" s="16">
        <f>SUMIFS('Wage Detail Linked'!$O$5:$O$105,'Wage Detail Linked'!$B$5:$B$105,$A4,'Wage Detail Linked'!$C$5:$C$105,N$2,'Wage Detail Linked'!$E$5:$E$105,"")</f>
      </c>
      <c r="O4" s="4">
        <f>IF(SUMIFS('Wage Detail Linked'!$O$5:$O$105,'Wage Detail Linked'!$B$5:$B$105,$A4,'Wage Detail Linked'!$C$5:$C$105,N$2,'Wage Detail Linked'!$E$5:$E$105,"")=0,IF(N4&gt;0,ROUND(N4*90,2),0),ROUND(SUMIFS('Wage Detail Linked'!$R$5:$R$105,'Wage Detail Linked'!$B$5:$B$105,$A4,'Wage Detail Linked'!$C$5:$C$105,N$2,'Wage Detail Linked'!$E$5:$E$105,"")*N4/SUMIFS('Wage Detail Linked'!$O$5:$O$105,'Wage Detail Linked'!$B$5:$B$105,$A4,'Wage Detail Linked'!$C$5:$C$105,N$2,'Wage Detail Linked'!$E$5:$E$105,""),2))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  <c r="AB4" s="36"/>
    </row>
    <row r="5">
      <c r="A5" s="37" t="inlineStr">
        <is>
          <t xml:space="preserve">Brian Ndlovu</t>
        </is>
      </c>
      <c r="B5" s="16">
        <f>SUMIFS('Wage Detail Linked'!$O$5:$O$105,'Wage Detail Linked'!$B$5:$B$105,$A5,'Wage Detail Linked'!$C$5:$C$105,B$2,'Wage Detail Linked'!$E$5:$E$105,"")</f>
      </c>
      <c r="C5" s="4">
        <f>IF(SUMIFS('Wage Detail Linked'!$O$5:$O$105,'Wage Detail Linked'!$B$5:$B$105,$A5,'Wage Detail Linked'!$C$5:$C$105,B$2,'Wage Detail Linked'!$E$5:$E$105,"")=0,IF(B5&gt;0,ROUND(B5*90,2),0),ROUND(SUMIFS('Wage Detail Linked'!$R$5:$R$105,'Wage Detail Linked'!$B$5:$B$105,$A5,'Wage Detail Linked'!$C$5:$C$105,B$2,'Wage Detail Linked'!$E$5:$E$105,"")*B5/SUMIFS('Wage Detail Linked'!$O$5:$O$105,'Wage Detail Linked'!$B$5:$B$105,$A5,'Wage Detail Linked'!$C$5:$C$105,B$2,'Wage Detail Linked'!$E$5:$E$105,""),2))</f>
      </c>
      <c r="D5" s="16">
        <f>SUMIFS('Wage Detail Linked'!$O$5:$O$105,'Wage Detail Linked'!$B$5:$B$105,$A5,'Wage Detail Linked'!$C$5:$C$105,D$2,'Wage Detail Linked'!$E$5:$E$105,"")</f>
      </c>
      <c r="E5" s="4">
        <f>IF(SUMIFS('Wage Detail Linked'!$O$5:$O$105,'Wage Detail Linked'!$B$5:$B$105,$A5,'Wage Detail Linked'!$C$5:$C$105,D$2,'Wage Detail Linked'!$E$5:$E$105,"")=0,IF(D5&gt;0,ROUND(D5*90,2),0),ROUND(SUMIFS('Wage Detail Linked'!$R$5:$R$105,'Wage Detail Linked'!$B$5:$B$105,$A5,'Wage Detail Linked'!$C$5:$C$105,D$2,'Wage Detail Linked'!$E$5:$E$105,"")*D5/SUMIFS('Wage Detail Linked'!$O$5:$O$105,'Wage Detail Linked'!$B$5:$B$105,$A5,'Wage Detail Linked'!$C$5:$C$105,D$2,'Wage Detail Linked'!$E$5:$E$105,""),2))</f>
      </c>
      <c r="F5" s="16">
        <f>SUMIFS('Wage Detail Linked'!$O$5:$O$105,'Wage Detail Linked'!$B$5:$B$105,$A5,'Wage Detail Linked'!$C$5:$C$105,F$2,'Wage Detail Linked'!$E$5:$E$105,"")</f>
      </c>
      <c r="G5" s="4">
        <f>IF(SUMIFS('Wage Detail Linked'!$O$5:$O$105,'Wage Detail Linked'!$B$5:$B$105,$A5,'Wage Detail Linked'!$C$5:$C$105,F$2,'Wage Detail Linked'!$E$5:$E$105,"")=0,IF(F5&gt;0,ROUND(F5*90,2),0),ROUND(SUMIFS('Wage Detail Linked'!$R$5:$R$105,'Wage Detail Linked'!$B$5:$B$105,$A5,'Wage Detail Linked'!$C$5:$C$105,F$2,'Wage Detail Linked'!$E$5:$E$105,"")*F5/SUMIFS('Wage Detail Linked'!$O$5:$O$105,'Wage Detail Linked'!$B$5:$B$105,$A5,'Wage Detail Linked'!$C$5:$C$105,F$2,'Wage Detail Linked'!$E$5:$E$105,""),2))</f>
      </c>
      <c r="H5" s="16">
        <f>SUMIFS('Wage Detail Linked'!$O$5:$O$105,'Wage Detail Linked'!$B$5:$B$105,$A5,'Wage Detail Linked'!$C$5:$C$105,H$2,'Wage Detail Linked'!$E$5:$E$105,"")</f>
      </c>
      <c r="I5" s="4">
        <f>IF(SUMIFS('Wage Detail Linked'!$O$5:$O$105,'Wage Detail Linked'!$B$5:$B$105,$A5,'Wage Detail Linked'!$C$5:$C$105,H$2,'Wage Detail Linked'!$E$5:$E$105,"")=0,IF(H5&gt;0,ROUND(H5*90,2),0),ROUND(SUMIFS('Wage Detail Linked'!$R$5:$R$105,'Wage Detail Linked'!$B$5:$B$105,$A5,'Wage Detail Linked'!$C$5:$C$105,H$2,'Wage Detail Linked'!$E$5:$E$105,"")*H5/SUMIFS('Wage Detail Linked'!$O$5:$O$105,'Wage Detail Linked'!$B$5:$B$105,$A5,'Wage Detail Linked'!$C$5:$C$105,H$2,'Wage Detail Linked'!$E$5:$E$105,""),2))</f>
      </c>
      <c r="J5" s="16">
        <f>SUMIFS('Wage Detail Linked'!$O$5:$O$105,'Wage Detail Linked'!$B$5:$B$105,$A5,'Wage Detail Linked'!$C$5:$C$105,J$2,'Wage Detail Linked'!$E$5:$E$105,"")</f>
      </c>
      <c r="K5" s="4">
        <f>IF(SUMIFS('Wage Detail Linked'!$O$5:$O$105,'Wage Detail Linked'!$B$5:$B$105,$A5,'Wage Detail Linked'!$C$5:$C$105,J$2,'Wage Detail Linked'!$E$5:$E$105,"")=0,IF(J5&gt;0,ROUND(J5*90,2),0),ROUND(SUMIFS('Wage Detail Linked'!$R$5:$R$105,'Wage Detail Linked'!$B$5:$B$105,$A5,'Wage Detail Linked'!$C$5:$C$105,J$2,'Wage Detail Linked'!$E$5:$E$105,"")*J5/SUMIFS('Wage Detail Linked'!$O$5:$O$105,'Wage Detail Linked'!$B$5:$B$105,$A5,'Wage Detail Linked'!$C$5:$C$105,J$2,'Wage Detail Linked'!$E$5:$E$105,""),2))</f>
      </c>
      <c r="L5" s="16">
        <f>SUMIFS('Wage Detail Linked'!$O$5:$O$105,'Wage Detail Linked'!$B$5:$B$105,$A5,'Wage Detail Linked'!$C$5:$C$105,L$2,'Wage Detail Linked'!$E$5:$E$105,"")</f>
      </c>
      <c r="M5" s="4">
        <f>IF(SUMIFS('Wage Detail Linked'!$O$5:$O$105,'Wage Detail Linked'!$B$5:$B$105,$A5,'Wage Detail Linked'!$C$5:$C$105,L$2,'Wage Detail Linked'!$E$5:$E$105,"")=0,IF(L5&gt;0,ROUND(L5*90,2),0),ROUND(SUMIFS('Wage Detail Linked'!$R$5:$R$105,'Wage Detail Linked'!$B$5:$B$105,$A5,'Wage Detail Linked'!$C$5:$C$105,L$2,'Wage Detail Linked'!$E$5:$E$105,"")*L5/SUMIFS('Wage Detail Linked'!$O$5:$O$105,'Wage Detail Linked'!$B$5:$B$105,$A5,'Wage Detail Linked'!$C$5:$C$105,L$2,'Wage Detail Linked'!$E$5:$E$105,""),2))</f>
      </c>
      <c r="N5" s="16">
        <f>SUMIFS('Wage Detail Linked'!$O$5:$O$105,'Wage Detail Linked'!$B$5:$B$105,$A5,'Wage Detail Linked'!$C$5:$C$105,N$2,'Wage Detail Linked'!$E$5:$E$105,"")</f>
      </c>
      <c r="O5" s="4">
        <f>IF(SUMIFS('Wage Detail Linked'!$O$5:$O$105,'Wage Detail Linked'!$B$5:$B$105,$A5,'Wage Detail Linked'!$C$5:$C$105,N$2,'Wage Detail Linked'!$E$5:$E$105,"")=0,IF(N5&gt;0,ROUND(N5*90,2),0),ROUND(SUMIFS('Wage Detail Linked'!$R$5:$R$105,'Wage Detail Linked'!$B$5:$B$105,$A5,'Wage Detail Linked'!$C$5:$C$105,N$2,'Wage Detail Linked'!$E$5:$E$105,"")*N5/SUMIFS('Wage Detail Linked'!$O$5:$O$105,'Wage Detail Linked'!$B$5:$B$105,$A5,'Wage Detail Linked'!$C$5:$C$105,N$2,'Wage Detail Linked'!$E$5:$E$105,""),2))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  <c r="AB5" s="36"/>
    </row>
    <row r="6">
      <c r="A6" s="37" t="inlineStr">
        <is>
          <t xml:space="preserve">Daniel Motaung</t>
        </is>
      </c>
      <c r="B6" s="16">
        <f>SUMIFS('Wage Detail Linked'!$O$5:$O$105,'Wage Detail Linked'!$B$5:$B$105,$A6,'Wage Detail Linked'!$C$5:$C$105,B$2,'Wage Detail Linked'!$E$5:$E$105,"")</f>
      </c>
      <c r="C6" s="4">
        <f>IF(SUMIFS('Wage Detail Linked'!$O$5:$O$105,'Wage Detail Linked'!$B$5:$B$105,$A6,'Wage Detail Linked'!$C$5:$C$105,B$2,'Wage Detail Linked'!$E$5:$E$105,"")=0,IF(B6&gt;0,ROUND(B6*90,2),0),ROUND(SUMIFS('Wage Detail Linked'!$R$5:$R$105,'Wage Detail Linked'!$B$5:$B$105,$A6,'Wage Detail Linked'!$C$5:$C$105,B$2,'Wage Detail Linked'!$E$5:$E$105,"")*B6/SUMIFS('Wage Detail Linked'!$O$5:$O$105,'Wage Detail Linked'!$B$5:$B$105,$A6,'Wage Detail Linked'!$C$5:$C$105,B$2,'Wage Detail Linked'!$E$5:$E$105,""),2))</f>
      </c>
      <c r="D6" s="16">
        <f>SUMIFS('Wage Detail Linked'!$O$5:$O$105,'Wage Detail Linked'!$B$5:$B$105,$A6,'Wage Detail Linked'!$C$5:$C$105,D$2,'Wage Detail Linked'!$E$5:$E$105,"")</f>
      </c>
      <c r="E6" s="4">
        <f>IF(SUMIFS('Wage Detail Linked'!$O$5:$O$105,'Wage Detail Linked'!$B$5:$B$105,$A6,'Wage Detail Linked'!$C$5:$C$105,D$2,'Wage Detail Linked'!$E$5:$E$105,"")=0,IF(D6&gt;0,ROUND(D6*90,2),0),ROUND(SUMIFS('Wage Detail Linked'!$R$5:$R$105,'Wage Detail Linked'!$B$5:$B$105,$A6,'Wage Detail Linked'!$C$5:$C$105,D$2,'Wage Detail Linked'!$E$5:$E$105,"")*D6/SUMIFS('Wage Detail Linked'!$O$5:$O$105,'Wage Detail Linked'!$B$5:$B$105,$A6,'Wage Detail Linked'!$C$5:$C$105,D$2,'Wage Detail Linked'!$E$5:$E$105,""),2))</f>
      </c>
      <c r="F6" s="16">
        <f>SUMIFS('Wage Detail Linked'!$O$5:$O$105,'Wage Detail Linked'!$B$5:$B$105,$A6,'Wage Detail Linked'!$C$5:$C$105,F$2,'Wage Detail Linked'!$E$5:$E$105,"")</f>
      </c>
      <c r="G6" s="4">
        <f>IF(SUMIFS('Wage Detail Linked'!$O$5:$O$105,'Wage Detail Linked'!$B$5:$B$105,$A6,'Wage Detail Linked'!$C$5:$C$105,F$2,'Wage Detail Linked'!$E$5:$E$105,"")=0,IF(F6&gt;0,ROUND(F6*90,2),0),ROUND(SUMIFS('Wage Detail Linked'!$R$5:$R$105,'Wage Detail Linked'!$B$5:$B$105,$A6,'Wage Detail Linked'!$C$5:$C$105,F$2,'Wage Detail Linked'!$E$5:$E$105,"")*F6/SUMIFS('Wage Detail Linked'!$O$5:$O$105,'Wage Detail Linked'!$B$5:$B$105,$A6,'Wage Detail Linked'!$C$5:$C$105,F$2,'Wage Detail Linked'!$E$5:$E$105,""),2))</f>
      </c>
      <c r="H6" s="16">
        <f>SUMIFS('Wage Detail Linked'!$O$5:$O$105,'Wage Detail Linked'!$B$5:$B$105,$A6,'Wage Detail Linked'!$C$5:$C$105,H$2,'Wage Detail Linked'!$E$5:$E$105,"")</f>
      </c>
      <c r="I6" s="4">
        <f>IF(SUMIFS('Wage Detail Linked'!$O$5:$O$105,'Wage Detail Linked'!$B$5:$B$105,$A6,'Wage Detail Linked'!$C$5:$C$105,H$2,'Wage Detail Linked'!$E$5:$E$105,"")=0,IF(H6&gt;0,ROUND(H6*90,2),0),ROUND(SUMIFS('Wage Detail Linked'!$R$5:$R$105,'Wage Detail Linked'!$B$5:$B$105,$A6,'Wage Detail Linked'!$C$5:$C$105,H$2,'Wage Detail Linked'!$E$5:$E$105,"")*H6/SUMIFS('Wage Detail Linked'!$O$5:$O$105,'Wage Detail Linked'!$B$5:$B$105,$A6,'Wage Detail Linked'!$C$5:$C$105,H$2,'Wage Detail Linked'!$E$5:$E$105,""),2))</f>
      </c>
      <c r="J6" s="16">
        <f>SUMIFS('Wage Detail Linked'!$O$5:$O$105,'Wage Detail Linked'!$B$5:$B$105,$A6,'Wage Detail Linked'!$C$5:$C$105,J$2,'Wage Detail Linked'!$E$5:$E$105,"")</f>
      </c>
      <c r="K6" s="4">
        <f>IF(SUMIFS('Wage Detail Linked'!$O$5:$O$105,'Wage Detail Linked'!$B$5:$B$105,$A6,'Wage Detail Linked'!$C$5:$C$105,J$2,'Wage Detail Linked'!$E$5:$E$105,"")=0,IF(J6&gt;0,ROUND(J6*90,2),0),ROUND(SUMIFS('Wage Detail Linked'!$R$5:$R$105,'Wage Detail Linked'!$B$5:$B$105,$A6,'Wage Detail Linked'!$C$5:$C$105,J$2,'Wage Detail Linked'!$E$5:$E$105,"")*J6/SUMIFS('Wage Detail Linked'!$O$5:$O$105,'Wage Detail Linked'!$B$5:$B$105,$A6,'Wage Detail Linked'!$C$5:$C$105,J$2,'Wage Detail Linked'!$E$5:$E$105,""),2))</f>
      </c>
      <c r="L6" s="16">
        <f>SUMIFS('Wage Detail Linked'!$O$5:$O$105,'Wage Detail Linked'!$B$5:$B$105,$A6,'Wage Detail Linked'!$C$5:$C$105,L$2,'Wage Detail Linked'!$E$5:$E$105,"")</f>
      </c>
      <c r="M6" s="4">
        <f>IF(SUMIFS('Wage Detail Linked'!$O$5:$O$105,'Wage Detail Linked'!$B$5:$B$105,$A6,'Wage Detail Linked'!$C$5:$C$105,L$2,'Wage Detail Linked'!$E$5:$E$105,"")=0,IF(L6&gt;0,ROUND(L6*90,2),0),ROUND(SUMIFS('Wage Detail Linked'!$R$5:$R$105,'Wage Detail Linked'!$B$5:$B$105,$A6,'Wage Detail Linked'!$C$5:$C$105,L$2,'Wage Detail Linked'!$E$5:$E$105,"")*L6/SUMIFS('Wage Detail Linked'!$O$5:$O$105,'Wage Detail Linked'!$B$5:$B$105,$A6,'Wage Detail Linked'!$C$5:$C$105,L$2,'Wage Detail Linked'!$E$5:$E$105,""),2))</f>
      </c>
      <c r="N6" s="16">
        <f>SUMIFS('Wage Detail Linked'!$O$5:$O$105,'Wage Detail Linked'!$B$5:$B$105,$A6,'Wage Detail Linked'!$C$5:$C$105,N$2,'Wage Detail Linked'!$E$5:$E$105,"")</f>
      </c>
      <c r="O6" s="4">
        <f>IF(SUMIFS('Wage Detail Linked'!$O$5:$O$105,'Wage Detail Linked'!$B$5:$B$105,$A6,'Wage Detail Linked'!$C$5:$C$105,N$2,'Wage Detail Linked'!$E$5:$E$105,"")=0,IF(N6&gt;0,ROUND(N6*90,2),0),ROUND(SUMIFS('Wage Detail Linked'!$R$5:$R$105,'Wage Detail Linked'!$B$5:$B$105,$A6,'Wage Detail Linked'!$C$5:$C$105,N$2,'Wage Detail Linked'!$E$5:$E$105,"")*N6/SUMIFS('Wage Detail Linked'!$O$5:$O$105,'Wage Detail Linked'!$B$5:$B$105,$A6,'Wage Detail Linked'!$C$5:$C$105,N$2,'Wage Detail Linked'!$E$5:$E$105,""),2))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  <c r="AB6" s="36"/>
    </row>
    <row r="7">
      <c r="A7" s="37" t="inlineStr">
        <is>
          <t xml:space="preserve">Erence Mngomezulu</t>
        </is>
      </c>
      <c r="B7" s="16">
        <f>SUMIFS('Wage Detail Linked'!$O$5:$O$105,'Wage Detail Linked'!$B$5:$B$105,$A7,'Wage Detail Linked'!$C$5:$C$105,B$2,'Wage Detail Linked'!$E$5:$E$105,"")</f>
      </c>
      <c r="C7" s="4">
        <f>IF(SUMIFS('Wage Detail Linked'!$O$5:$O$105,'Wage Detail Linked'!$B$5:$B$105,$A7,'Wage Detail Linked'!$C$5:$C$105,B$2,'Wage Detail Linked'!$E$5:$E$105,"")=0,IF(B7&gt;0,ROUND(B7*90,2),0),ROUND(SUMIFS('Wage Detail Linked'!$R$5:$R$105,'Wage Detail Linked'!$B$5:$B$105,$A7,'Wage Detail Linked'!$C$5:$C$105,B$2,'Wage Detail Linked'!$E$5:$E$105,"")*B7/SUMIFS('Wage Detail Linked'!$O$5:$O$105,'Wage Detail Linked'!$B$5:$B$105,$A7,'Wage Detail Linked'!$C$5:$C$105,B$2,'Wage Detail Linked'!$E$5:$E$105,""),2))</f>
      </c>
      <c r="D7" s="16">
        <f>SUMIFS('Wage Detail Linked'!$O$5:$O$105,'Wage Detail Linked'!$B$5:$B$105,$A7,'Wage Detail Linked'!$C$5:$C$105,D$2,'Wage Detail Linked'!$E$5:$E$105,"")</f>
      </c>
      <c r="E7" s="4">
        <f>IF(SUMIFS('Wage Detail Linked'!$O$5:$O$105,'Wage Detail Linked'!$B$5:$B$105,$A7,'Wage Detail Linked'!$C$5:$C$105,D$2,'Wage Detail Linked'!$E$5:$E$105,"")=0,IF(D7&gt;0,ROUND(D7*90,2),0),ROUND(SUMIFS('Wage Detail Linked'!$R$5:$R$105,'Wage Detail Linked'!$B$5:$B$105,$A7,'Wage Detail Linked'!$C$5:$C$105,D$2,'Wage Detail Linked'!$E$5:$E$105,"")*D7/SUMIFS('Wage Detail Linked'!$O$5:$O$105,'Wage Detail Linked'!$B$5:$B$105,$A7,'Wage Detail Linked'!$C$5:$C$105,D$2,'Wage Detail Linked'!$E$5:$E$105,""),2))</f>
      </c>
      <c r="F7" s="16">
        <f>SUMIFS('Wage Detail Linked'!$O$5:$O$105,'Wage Detail Linked'!$B$5:$B$105,$A7,'Wage Detail Linked'!$C$5:$C$105,F$2,'Wage Detail Linked'!$E$5:$E$105,"")</f>
      </c>
      <c r="G7" s="4">
        <f>IF(SUMIFS('Wage Detail Linked'!$O$5:$O$105,'Wage Detail Linked'!$B$5:$B$105,$A7,'Wage Detail Linked'!$C$5:$C$105,F$2,'Wage Detail Linked'!$E$5:$E$105,"")=0,IF(F7&gt;0,ROUND(F7*90,2),0),ROUND(SUMIFS('Wage Detail Linked'!$R$5:$R$105,'Wage Detail Linked'!$B$5:$B$105,$A7,'Wage Detail Linked'!$C$5:$C$105,F$2,'Wage Detail Linked'!$E$5:$E$105,"")*F7/SUMIFS('Wage Detail Linked'!$O$5:$O$105,'Wage Detail Linked'!$B$5:$B$105,$A7,'Wage Detail Linked'!$C$5:$C$105,F$2,'Wage Detail Linked'!$E$5:$E$105,""),2))</f>
      </c>
      <c r="H7" s="16">
        <f>SUMIFS('Wage Detail Linked'!$O$5:$O$105,'Wage Detail Linked'!$B$5:$B$105,$A7,'Wage Detail Linked'!$C$5:$C$105,H$2,'Wage Detail Linked'!$E$5:$E$105,"")</f>
      </c>
      <c r="I7" s="4">
        <f>IF(SUMIFS('Wage Detail Linked'!$O$5:$O$105,'Wage Detail Linked'!$B$5:$B$105,$A7,'Wage Detail Linked'!$C$5:$C$105,H$2,'Wage Detail Linked'!$E$5:$E$105,"")=0,IF(H7&gt;0,ROUND(H7*90,2),0),ROUND(SUMIFS('Wage Detail Linked'!$R$5:$R$105,'Wage Detail Linked'!$B$5:$B$105,$A7,'Wage Detail Linked'!$C$5:$C$105,H$2,'Wage Detail Linked'!$E$5:$E$105,"")*H7/SUMIFS('Wage Detail Linked'!$O$5:$O$105,'Wage Detail Linked'!$B$5:$B$105,$A7,'Wage Detail Linked'!$C$5:$C$105,H$2,'Wage Detail Linked'!$E$5:$E$105,""),2))</f>
      </c>
      <c r="J7" s="16">
        <f>SUMIFS('Wage Detail Linked'!$O$5:$O$105,'Wage Detail Linked'!$B$5:$B$105,$A7,'Wage Detail Linked'!$C$5:$C$105,J$2,'Wage Detail Linked'!$E$5:$E$105,"")</f>
      </c>
      <c r="K7" s="4">
        <f>IF(SUMIFS('Wage Detail Linked'!$O$5:$O$105,'Wage Detail Linked'!$B$5:$B$105,$A7,'Wage Detail Linked'!$C$5:$C$105,J$2,'Wage Detail Linked'!$E$5:$E$105,"")=0,IF(J7&gt;0,ROUND(J7*90,2),0),ROUND(SUMIFS('Wage Detail Linked'!$R$5:$R$105,'Wage Detail Linked'!$B$5:$B$105,$A7,'Wage Detail Linked'!$C$5:$C$105,J$2,'Wage Detail Linked'!$E$5:$E$105,"")*J7/SUMIFS('Wage Detail Linked'!$O$5:$O$105,'Wage Detail Linked'!$B$5:$B$105,$A7,'Wage Detail Linked'!$C$5:$C$105,J$2,'Wage Detail Linked'!$E$5:$E$105,""),2))</f>
      </c>
      <c r="L7" s="16">
        <f>SUMIFS('Wage Detail Linked'!$O$5:$O$105,'Wage Detail Linked'!$B$5:$B$105,$A7,'Wage Detail Linked'!$C$5:$C$105,L$2,'Wage Detail Linked'!$E$5:$E$105,"")</f>
      </c>
      <c r="M7" s="4">
        <f>IF(SUMIFS('Wage Detail Linked'!$O$5:$O$105,'Wage Detail Linked'!$B$5:$B$105,$A7,'Wage Detail Linked'!$C$5:$C$105,L$2,'Wage Detail Linked'!$E$5:$E$105,"")=0,IF(L7&gt;0,ROUND(L7*90,2),0),ROUND(SUMIFS('Wage Detail Linked'!$R$5:$R$105,'Wage Detail Linked'!$B$5:$B$105,$A7,'Wage Detail Linked'!$C$5:$C$105,L$2,'Wage Detail Linked'!$E$5:$E$105,"")*L7/SUMIFS('Wage Detail Linked'!$O$5:$O$105,'Wage Detail Linked'!$B$5:$B$105,$A7,'Wage Detail Linked'!$C$5:$C$105,L$2,'Wage Detail Linked'!$E$5:$E$105,""),2))</f>
      </c>
      <c r="N7" s="16">
        <f>SUMIFS('Wage Detail Linked'!$O$5:$O$105,'Wage Detail Linked'!$B$5:$B$105,$A7,'Wage Detail Linked'!$C$5:$C$105,N$2,'Wage Detail Linked'!$E$5:$E$105,"")</f>
      </c>
      <c r="O7" s="4">
        <f>IF(SUMIFS('Wage Detail Linked'!$O$5:$O$105,'Wage Detail Linked'!$B$5:$B$105,$A7,'Wage Detail Linked'!$C$5:$C$105,N$2,'Wage Detail Linked'!$E$5:$E$105,"")=0,IF(N7&gt;0,ROUND(N7*90,2),0),ROUND(SUMIFS('Wage Detail Linked'!$R$5:$R$105,'Wage Detail Linked'!$B$5:$B$105,$A7,'Wage Detail Linked'!$C$5:$C$105,N$2,'Wage Detail Linked'!$E$5:$E$105,"")*N7/SUMIFS('Wage Detail Linked'!$O$5:$O$105,'Wage Detail Linked'!$B$5:$B$105,$A7,'Wage Detail Linked'!$C$5:$C$105,N$2,'Wage Detail Linked'!$E$5:$E$105,""),2))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  <c r="AB7" s="36"/>
    </row>
    <row r="8" ht="97" customHeight="1">
      <c r="A8" s="37" t="inlineStr">
        <is>
          <t xml:space="preserve">Erick Mpho Molefe</t>
        </is>
      </c>
      <c r="B8" s="16">
        <f>SUMIFS('Wage Detail Linked'!$O$5:$O$105,'Wage Detail Linked'!$B$5:$B$105,$A8,'Wage Detail Linked'!$C$5:$C$105,B$2,'Wage Detail Linked'!$E$5:$E$105,"")</f>
      </c>
      <c r="C8" s="4">
        <f>IF(SUMIFS('Wage Detail Linked'!$O$5:$O$105,'Wage Detail Linked'!$B$5:$B$105,$A8,'Wage Detail Linked'!$C$5:$C$105,B$2,'Wage Detail Linked'!$E$5:$E$105,"")=0,IF(B8&gt;0,ROUND(B8*90,2),0),ROUND(SUMIFS('Wage Detail Linked'!$R$5:$R$105,'Wage Detail Linked'!$B$5:$B$105,$A8,'Wage Detail Linked'!$C$5:$C$105,B$2,'Wage Detail Linked'!$E$5:$E$105,"")*B8/SUMIFS('Wage Detail Linked'!$O$5:$O$105,'Wage Detail Linked'!$B$5:$B$105,$A8,'Wage Detail Linked'!$C$5:$C$105,B$2,'Wage Detail Linked'!$E$5:$E$105,""),2))</f>
      </c>
      <c r="D8" s="16">
        <f>SUMIFS('Wage Detail Linked'!$O$5:$O$105,'Wage Detail Linked'!$B$5:$B$105,$A8,'Wage Detail Linked'!$C$5:$C$105,D$2,'Wage Detail Linked'!$E$5:$E$105,"")</f>
      </c>
      <c r="E8" s="4">
        <f>IF(SUMIFS('Wage Detail Linked'!$O$5:$O$105,'Wage Detail Linked'!$B$5:$B$105,$A8,'Wage Detail Linked'!$C$5:$C$105,D$2,'Wage Detail Linked'!$E$5:$E$105,"")=0,IF(D8&gt;0,ROUND(D8*90,2),0),ROUND(SUMIFS('Wage Detail Linked'!$R$5:$R$105,'Wage Detail Linked'!$B$5:$B$105,$A8,'Wage Detail Linked'!$C$5:$C$105,D$2,'Wage Detail Linked'!$E$5:$E$105,"")*D8/SUMIFS('Wage Detail Linked'!$O$5:$O$105,'Wage Detail Linked'!$B$5:$B$105,$A8,'Wage Detail Linked'!$C$5:$C$105,D$2,'Wage Detail Linked'!$E$5:$E$105,""),2))</f>
      </c>
      <c r="F8" s="16">
        <f>SUMIFS('Wage Detail Linked'!$O$5:$O$105,'Wage Detail Linked'!$B$5:$B$105,$A8,'Wage Detail Linked'!$C$5:$C$105,F$2,'Wage Detail Linked'!$E$5:$E$105,"")</f>
      </c>
      <c r="G8" s="4">
        <f>IF(SUMIFS('Wage Detail Linked'!$O$5:$O$105,'Wage Detail Linked'!$B$5:$B$105,$A8,'Wage Detail Linked'!$C$5:$C$105,F$2,'Wage Detail Linked'!$E$5:$E$105,"")=0,IF(F8&gt;0,ROUND(F8*90,2),0),ROUND(SUMIFS('Wage Detail Linked'!$R$5:$R$105,'Wage Detail Linked'!$B$5:$B$105,$A8,'Wage Detail Linked'!$C$5:$C$105,F$2,'Wage Detail Linked'!$E$5:$E$105,"")*F8/SUMIFS('Wage Detail Linked'!$O$5:$O$105,'Wage Detail Linked'!$B$5:$B$105,$A8,'Wage Detail Linked'!$C$5:$C$105,F$2,'Wage Detail Linked'!$E$5:$E$105,""),2))</f>
      </c>
      <c r="H8" s="16">
        <f>SUMIFS('Wage Detail Linked'!$O$5:$O$105,'Wage Detail Linked'!$B$5:$B$105,$A8,'Wage Detail Linked'!$C$5:$C$105,H$2,'Wage Detail Linked'!$E$5:$E$105,"")</f>
      </c>
      <c r="I8" s="4">
        <f>IF(SUMIFS('Wage Detail Linked'!$O$5:$O$105,'Wage Detail Linked'!$B$5:$B$105,$A8,'Wage Detail Linked'!$C$5:$C$105,H$2,'Wage Detail Linked'!$E$5:$E$105,"")=0,IF(H8&gt;0,ROUND(H8*90,2),0),ROUND(SUMIFS('Wage Detail Linked'!$R$5:$R$105,'Wage Detail Linked'!$B$5:$B$105,$A8,'Wage Detail Linked'!$C$5:$C$105,H$2,'Wage Detail Linked'!$E$5:$E$105,"")*H8/SUMIFS('Wage Detail Linked'!$O$5:$O$105,'Wage Detail Linked'!$B$5:$B$105,$A8,'Wage Detail Linked'!$C$5:$C$105,H$2,'Wage Detail Linked'!$E$5:$E$105,""),2))</f>
      </c>
      <c r="J8" s="16">
        <f>SUMIFS('Wage Detail Linked'!$O$5:$O$105,'Wage Detail Linked'!$B$5:$B$105,$A8,'Wage Detail Linked'!$C$5:$C$105,J$2,'Wage Detail Linked'!$E$5:$E$105,"")</f>
      </c>
      <c r="K8" s="4">
        <f>IF(SUMIFS('Wage Detail Linked'!$O$5:$O$105,'Wage Detail Linked'!$B$5:$B$105,$A8,'Wage Detail Linked'!$C$5:$C$105,J$2,'Wage Detail Linked'!$E$5:$E$105,"")=0,IF(J8&gt;0,ROUND(J8*90,2),0),ROUND(SUMIFS('Wage Detail Linked'!$R$5:$R$105,'Wage Detail Linked'!$B$5:$B$105,$A8,'Wage Detail Linked'!$C$5:$C$105,J$2,'Wage Detail Linked'!$E$5:$E$105,"")*J8/SUMIFS('Wage Detail Linked'!$O$5:$O$105,'Wage Detail Linked'!$B$5:$B$105,$A8,'Wage Detail Linked'!$C$5:$C$105,J$2,'Wage Detail Linked'!$E$5:$E$105,""),2))</f>
      </c>
      <c r="L8" s="16">
        <f>SUMIFS('Wage Detail Linked'!$O$5:$O$105,'Wage Detail Linked'!$B$5:$B$105,$A8,'Wage Detail Linked'!$C$5:$C$105,L$2,'Wage Detail Linked'!$E$5:$E$105,"")</f>
      </c>
      <c r="M8" s="4">
        <f>IF(SUMIFS('Wage Detail Linked'!$O$5:$O$105,'Wage Detail Linked'!$B$5:$B$105,$A8,'Wage Detail Linked'!$C$5:$C$105,L$2,'Wage Detail Linked'!$E$5:$E$105,"")=0,IF(L8&gt;0,ROUND(L8*90,2),0),ROUND(SUMIFS('Wage Detail Linked'!$R$5:$R$105,'Wage Detail Linked'!$B$5:$B$105,$A8,'Wage Detail Linked'!$C$5:$C$105,L$2,'Wage Detail Linked'!$E$5:$E$105,"")*L8/SUMIFS('Wage Detail Linked'!$O$5:$O$105,'Wage Detail Linked'!$B$5:$B$105,$A8,'Wage Detail Linked'!$C$5:$C$105,L$2,'Wage Detail Linked'!$E$5:$E$105,""),2))</f>
      </c>
      <c r="N8" s="16">
        <f>SUMIFS('Wage Detail Linked'!$O$5:$O$105,'Wage Detail Linked'!$B$5:$B$105,$A8,'Wage Detail Linked'!$C$5:$C$105,N$2,'Wage Detail Linked'!$E$5:$E$105,"")</f>
      </c>
      <c r="O8" s="4">
        <f>IF(SUMIFS('Wage Detail Linked'!$O$5:$O$105,'Wage Detail Linked'!$B$5:$B$105,$A8,'Wage Detail Linked'!$C$5:$C$105,N$2,'Wage Detail Linked'!$E$5:$E$105,"")=0,IF(N8&gt;0,ROUND(N8*90,2),0),ROUND(SUMIFS('Wage Detail Linked'!$R$5:$R$105,'Wage Detail Linked'!$B$5:$B$105,$A8,'Wage Detail Linked'!$C$5:$C$105,N$2,'Wage Detail Linked'!$E$5:$E$105,"")*N8/SUMIFS('Wage Detail Linked'!$O$5:$O$105,'Wage Detail Linked'!$B$5:$B$105,$A8,'Wage Detail Linked'!$C$5:$C$105,N$2,'Wage Detail Linked'!$E$5:$E$105,""),2))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500</v>
      </c>
      <c r="X8" s="7">
        <v>500</v>
      </c>
      <c r="Y8" s="4">
        <f>MAX(0,1000-X8)</f>
      </c>
      <c r="Z8" s="4">
        <f>U8+X8</f>
      </c>
      <c r="AA8" s="13">
        <f>MAX(0,S8-Z8)</f>
      </c>
      <c r="AB8" s="36" t="inlineStr">
        <is>
          <t xml:space="preserve">1. FIXED R1 000,00/week — Car Payment (vehicle: held from wages weekly, paid over to the worker on the 25th of each month), every week since 2026-08-01, ongoing until the owner ends it. Not a loan.
2. LOAN #1 R2 000,00 given 2026-08-08 (car repair): R250,00 deducted this week; R250,00 still owing → R250,00/week from next payroll.
3. LOAN #7 R500,00 given 2026-09-22 (cash advance requested by WhatsApp): R250,00 deducted this week; R250,00 still owing → R250,00/week from next payroll.</t>
        </is>
      </c>
    </row>
    <row r="9">
      <c r="A9" s="37" t="inlineStr">
        <is>
          <t xml:space="preserve">Givemore Chifetete Kuziwa</t>
        </is>
      </c>
      <c r="B9" s="16">
        <f>SUMIFS('Wage Detail Linked'!$O$5:$O$105,'Wage Detail Linked'!$B$5:$B$105,$A9,'Wage Detail Linked'!$C$5:$C$105,B$2,'Wage Detail Linked'!$E$5:$E$105,"")</f>
      </c>
      <c r="C9" s="4">
        <f>IF(SUMIFS('Wage Detail Linked'!$O$5:$O$105,'Wage Detail Linked'!$B$5:$B$105,$A9,'Wage Detail Linked'!$C$5:$C$105,B$2,'Wage Detail Linked'!$E$5:$E$105,"")=0,IF(B9&gt;0,ROUND(B9*90,2),0),ROUND(SUMIFS('Wage Detail Linked'!$R$5:$R$105,'Wage Detail Linked'!$B$5:$B$105,$A9,'Wage Detail Linked'!$C$5:$C$105,B$2,'Wage Detail Linked'!$E$5:$E$105,"")*B9/SUMIFS('Wage Detail Linked'!$O$5:$O$105,'Wage Detail Linked'!$B$5:$B$105,$A9,'Wage Detail Linked'!$C$5:$C$105,B$2,'Wage Detail Linked'!$E$5:$E$105,""),2))</f>
      </c>
      <c r="D9" s="16">
        <f>SUMIFS('Wage Detail Linked'!$O$5:$O$105,'Wage Detail Linked'!$B$5:$B$105,$A9,'Wage Detail Linked'!$C$5:$C$105,D$2,'Wage Detail Linked'!$E$5:$E$105,"")</f>
      </c>
      <c r="E9" s="4">
        <f>IF(SUMIFS('Wage Detail Linked'!$O$5:$O$105,'Wage Detail Linked'!$B$5:$B$105,$A9,'Wage Detail Linked'!$C$5:$C$105,D$2,'Wage Detail Linked'!$E$5:$E$105,"")=0,IF(D9&gt;0,ROUND(D9*90,2),0),ROUND(SUMIFS('Wage Detail Linked'!$R$5:$R$105,'Wage Detail Linked'!$B$5:$B$105,$A9,'Wage Detail Linked'!$C$5:$C$105,D$2,'Wage Detail Linked'!$E$5:$E$105,"")*D9/SUMIFS('Wage Detail Linked'!$O$5:$O$105,'Wage Detail Linked'!$B$5:$B$105,$A9,'Wage Detail Linked'!$C$5:$C$105,D$2,'Wage Detail Linked'!$E$5:$E$105,""),2))</f>
      </c>
      <c r="F9" s="16">
        <f>SUMIFS('Wage Detail Linked'!$O$5:$O$105,'Wage Detail Linked'!$B$5:$B$105,$A9,'Wage Detail Linked'!$C$5:$C$105,F$2,'Wage Detail Linked'!$E$5:$E$105,"")</f>
      </c>
      <c r="G9" s="4">
        <f>IF(SUMIFS('Wage Detail Linked'!$O$5:$O$105,'Wage Detail Linked'!$B$5:$B$105,$A9,'Wage Detail Linked'!$C$5:$C$105,F$2,'Wage Detail Linked'!$E$5:$E$105,"")=0,IF(F9&gt;0,ROUND(F9*90,2),0),ROUND(SUMIFS('Wage Detail Linked'!$R$5:$R$105,'Wage Detail Linked'!$B$5:$B$105,$A9,'Wage Detail Linked'!$C$5:$C$105,F$2,'Wage Detail Linked'!$E$5:$E$105,"")*F9/SUMIFS('Wage Detail Linked'!$O$5:$O$105,'Wage Detail Linked'!$B$5:$B$105,$A9,'Wage Detail Linked'!$C$5:$C$105,F$2,'Wage Detail Linked'!$E$5:$E$105,""),2))</f>
      </c>
      <c r="H9" s="16">
        <f>SUMIFS('Wage Detail Linked'!$O$5:$O$105,'Wage Detail Linked'!$B$5:$B$105,$A9,'Wage Detail Linked'!$C$5:$C$105,H$2,'Wage Detail Linked'!$E$5:$E$105,"")</f>
      </c>
      <c r="I9" s="4">
        <f>IF(SUMIFS('Wage Detail Linked'!$O$5:$O$105,'Wage Detail Linked'!$B$5:$B$105,$A9,'Wage Detail Linked'!$C$5:$C$105,H$2,'Wage Detail Linked'!$E$5:$E$105,"")=0,IF(H9&gt;0,ROUND(H9*90,2),0),ROUND(SUMIFS('Wage Detail Linked'!$R$5:$R$105,'Wage Detail Linked'!$B$5:$B$105,$A9,'Wage Detail Linked'!$C$5:$C$105,H$2,'Wage Detail Linked'!$E$5:$E$105,"")*H9/SUMIFS('Wage Detail Linked'!$O$5:$O$105,'Wage Detail Linked'!$B$5:$B$105,$A9,'Wage Detail Linked'!$C$5:$C$105,H$2,'Wage Detail Linked'!$E$5:$E$105,""),2))</f>
      </c>
      <c r="J9" s="16">
        <f>SUMIFS('Wage Detail Linked'!$O$5:$O$105,'Wage Detail Linked'!$B$5:$B$105,$A9,'Wage Detail Linked'!$C$5:$C$105,J$2,'Wage Detail Linked'!$E$5:$E$105,"")</f>
      </c>
      <c r="K9" s="4">
        <f>IF(SUMIFS('Wage Detail Linked'!$O$5:$O$105,'Wage Detail Linked'!$B$5:$B$105,$A9,'Wage Detail Linked'!$C$5:$C$105,J$2,'Wage Detail Linked'!$E$5:$E$105,"")=0,IF(J9&gt;0,ROUND(J9*90,2),0),ROUND(SUMIFS('Wage Detail Linked'!$R$5:$R$105,'Wage Detail Linked'!$B$5:$B$105,$A9,'Wage Detail Linked'!$C$5:$C$105,J$2,'Wage Detail Linked'!$E$5:$E$105,"")*J9/SUMIFS('Wage Detail Linked'!$O$5:$O$105,'Wage Detail Linked'!$B$5:$B$105,$A9,'Wage Detail Linked'!$C$5:$C$105,J$2,'Wage Detail Linked'!$E$5:$E$105,""),2))</f>
      </c>
      <c r="L9" s="16">
        <f>SUMIFS('Wage Detail Linked'!$O$5:$O$105,'Wage Detail Linked'!$B$5:$B$105,$A9,'Wage Detail Linked'!$C$5:$C$105,L$2,'Wage Detail Linked'!$E$5:$E$105,"")</f>
      </c>
      <c r="M9" s="4">
        <f>IF(SUMIFS('Wage Detail Linked'!$O$5:$O$105,'Wage Detail Linked'!$B$5:$B$105,$A9,'Wage Detail Linked'!$C$5:$C$105,L$2,'Wage Detail Linked'!$E$5:$E$105,"")=0,IF(L9&gt;0,ROUND(L9*90,2),0),ROUND(SUMIFS('Wage Detail Linked'!$R$5:$R$105,'Wage Detail Linked'!$B$5:$B$105,$A9,'Wage Detail Linked'!$C$5:$C$105,L$2,'Wage Detail Linked'!$E$5:$E$105,"")*L9/SUMIFS('Wage Detail Linked'!$O$5:$O$105,'Wage Detail Linked'!$B$5:$B$105,$A9,'Wage Detail Linked'!$C$5:$C$105,L$2,'Wage Detail Linked'!$E$5:$E$105,""),2))</f>
      </c>
      <c r="N9" s="16">
        <f>SUMIFS('Wage Detail Linked'!$O$5:$O$105,'Wage Detail Linked'!$B$5:$B$105,$A9,'Wage Detail Linked'!$C$5:$C$105,N$2,'Wage Detail Linked'!$E$5:$E$105,"")</f>
      </c>
      <c r="O9" s="4">
        <f>IF(SUMIFS('Wage Detail Linked'!$O$5:$O$105,'Wage Detail Linked'!$B$5:$B$105,$A9,'Wage Detail Linked'!$C$5:$C$105,N$2,'Wage Detail Linked'!$E$5:$E$105,"")=0,IF(N9&gt;0,ROUND(N9*90,2),0),ROUND(SUMIFS('Wage Detail Linked'!$R$5:$R$105,'Wage Detail Linked'!$B$5:$B$105,$A9,'Wage Detail Linked'!$C$5:$C$105,N$2,'Wage Detail Linked'!$E$5:$E$105,"")*N9/SUMIFS('Wage Detail Linked'!$O$5:$O$105,'Wage Detail Linked'!$B$5:$B$105,$A9,'Wage Detail Linked'!$C$5:$C$105,N$2,'Wage Detail Linked'!$E$5:$E$105,""),2))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  <c r="AB9" s="36"/>
    </row>
    <row r="10" ht="151" customHeight="1">
      <c r="A10" s="37" t="inlineStr">
        <is>
          <t xml:space="preserve">Isaac Mbele</t>
        </is>
      </c>
      <c r="B10" s="16">
        <f>SUMIFS('Wage Detail Linked'!$O$5:$O$105,'Wage Detail Linked'!$B$5:$B$105,$A10,'Wage Detail Linked'!$C$5:$C$105,B$2,'Wage Detail Linked'!$E$5:$E$105,"")</f>
      </c>
      <c r="C10" s="4">
        <f>IF(SUMIFS('Wage Detail Linked'!$O$5:$O$105,'Wage Detail Linked'!$B$5:$B$105,$A10,'Wage Detail Linked'!$C$5:$C$105,B$2,'Wage Detail Linked'!$E$5:$E$105,"")=0,IF(B10&gt;0,ROUND(B10*90,2),0),ROUND(SUMIFS('Wage Detail Linked'!$R$5:$R$105,'Wage Detail Linked'!$B$5:$B$105,$A10,'Wage Detail Linked'!$C$5:$C$105,B$2,'Wage Detail Linked'!$E$5:$E$105,"")*B10/SUMIFS('Wage Detail Linked'!$O$5:$O$105,'Wage Detail Linked'!$B$5:$B$105,$A10,'Wage Detail Linked'!$C$5:$C$105,B$2,'Wage Detail Linked'!$E$5:$E$105,""),2))</f>
      </c>
      <c r="D10" s="16">
        <f>SUMIFS('Wage Detail Linked'!$O$5:$O$105,'Wage Detail Linked'!$B$5:$B$105,$A10,'Wage Detail Linked'!$C$5:$C$105,D$2,'Wage Detail Linked'!$E$5:$E$105,"")</f>
      </c>
      <c r="E10" s="4">
        <f>IF(SUMIFS('Wage Detail Linked'!$O$5:$O$105,'Wage Detail Linked'!$B$5:$B$105,$A10,'Wage Detail Linked'!$C$5:$C$105,D$2,'Wage Detail Linked'!$E$5:$E$105,"")=0,IF(D10&gt;0,ROUND(D10*90,2),0),ROUND(SUMIFS('Wage Detail Linked'!$R$5:$R$105,'Wage Detail Linked'!$B$5:$B$105,$A10,'Wage Detail Linked'!$C$5:$C$105,D$2,'Wage Detail Linked'!$E$5:$E$105,"")*D10/SUMIFS('Wage Detail Linked'!$O$5:$O$105,'Wage Detail Linked'!$B$5:$B$105,$A10,'Wage Detail Linked'!$C$5:$C$105,D$2,'Wage Detail Linked'!$E$5:$E$105,""),2))</f>
      </c>
      <c r="F10" s="16">
        <f>SUMIFS('Wage Detail Linked'!$O$5:$O$105,'Wage Detail Linked'!$B$5:$B$105,$A10,'Wage Detail Linked'!$C$5:$C$105,F$2,'Wage Detail Linked'!$E$5:$E$105,"")</f>
      </c>
      <c r="G10" s="4">
        <f>IF(SUMIFS('Wage Detail Linked'!$O$5:$O$105,'Wage Detail Linked'!$B$5:$B$105,$A10,'Wage Detail Linked'!$C$5:$C$105,F$2,'Wage Detail Linked'!$E$5:$E$105,"")=0,IF(F10&gt;0,ROUND(F10*90,2),0),ROUND(SUMIFS('Wage Detail Linked'!$R$5:$R$105,'Wage Detail Linked'!$B$5:$B$105,$A10,'Wage Detail Linked'!$C$5:$C$105,F$2,'Wage Detail Linked'!$E$5:$E$105,"")*F10/SUMIFS('Wage Detail Linked'!$O$5:$O$105,'Wage Detail Linked'!$B$5:$B$105,$A10,'Wage Detail Linked'!$C$5:$C$105,F$2,'Wage Detail Linked'!$E$5:$E$105,""),2))</f>
      </c>
      <c r="H10" s="16">
        <f>SUMIFS('Wage Detail Linked'!$O$5:$O$105,'Wage Detail Linked'!$B$5:$B$105,$A10,'Wage Detail Linked'!$C$5:$C$105,H$2,'Wage Detail Linked'!$E$5:$E$105,"")</f>
      </c>
      <c r="I10" s="4">
        <f>IF(SUMIFS('Wage Detail Linked'!$O$5:$O$105,'Wage Detail Linked'!$B$5:$B$105,$A10,'Wage Detail Linked'!$C$5:$C$105,H$2,'Wage Detail Linked'!$E$5:$E$105,"")=0,IF(H10&gt;0,ROUND(H10*90,2),0),ROUND(SUMIFS('Wage Detail Linked'!$R$5:$R$105,'Wage Detail Linked'!$B$5:$B$105,$A10,'Wage Detail Linked'!$C$5:$C$105,H$2,'Wage Detail Linked'!$E$5:$E$105,"")*H10/SUMIFS('Wage Detail Linked'!$O$5:$O$105,'Wage Detail Linked'!$B$5:$B$105,$A10,'Wage Detail Linked'!$C$5:$C$105,H$2,'Wage Detail Linked'!$E$5:$E$105,""),2))</f>
      </c>
      <c r="J10" s="16">
        <f>SUMIFS('Wage Detail Linked'!$O$5:$O$105,'Wage Detail Linked'!$B$5:$B$105,$A10,'Wage Detail Linked'!$C$5:$C$105,J$2,'Wage Detail Linked'!$E$5:$E$105,"")</f>
      </c>
      <c r="K10" s="4">
        <f>IF(SUMIFS('Wage Detail Linked'!$O$5:$O$105,'Wage Detail Linked'!$B$5:$B$105,$A10,'Wage Detail Linked'!$C$5:$C$105,J$2,'Wage Detail Linked'!$E$5:$E$105,"")=0,IF(J10&gt;0,ROUND(J10*90,2),0),ROUND(SUMIFS('Wage Detail Linked'!$R$5:$R$105,'Wage Detail Linked'!$B$5:$B$105,$A10,'Wage Detail Linked'!$C$5:$C$105,J$2,'Wage Detail Linked'!$E$5:$E$105,"")*J10/SUMIFS('Wage Detail Linked'!$O$5:$O$105,'Wage Detail Linked'!$B$5:$B$105,$A10,'Wage Detail Linked'!$C$5:$C$105,J$2,'Wage Detail Linked'!$E$5:$E$105,""),2))</f>
      </c>
      <c r="L10" s="16">
        <f>SUMIFS('Wage Detail Linked'!$O$5:$O$105,'Wage Detail Linked'!$B$5:$B$105,$A10,'Wage Detail Linked'!$C$5:$C$105,L$2,'Wage Detail Linked'!$E$5:$E$105,"")</f>
      </c>
      <c r="M10" s="4">
        <f>IF(SUMIFS('Wage Detail Linked'!$O$5:$O$105,'Wage Detail Linked'!$B$5:$B$105,$A10,'Wage Detail Linked'!$C$5:$C$105,L$2,'Wage Detail Linked'!$E$5:$E$105,"")=0,IF(L10&gt;0,ROUND(L10*90,2),0),ROUND(SUMIFS('Wage Detail Linked'!$R$5:$R$105,'Wage Detail Linked'!$B$5:$B$105,$A10,'Wage Detail Linked'!$C$5:$C$105,L$2,'Wage Detail Linked'!$E$5:$E$105,"")*L10/SUMIFS('Wage Detail Linked'!$O$5:$O$105,'Wage Detail Linked'!$B$5:$B$105,$A10,'Wage Detail Linked'!$C$5:$C$105,L$2,'Wage Detail Linked'!$E$5:$E$105,""),2))</f>
      </c>
      <c r="N10" s="16">
        <f>SUMIFS('Wage Detail Linked'!$O$5:$O$105,'Wage Detail Linked'!$B$5:$B$105,$A10,'Wage Detail Linked'!$C$5:$C$105,N$2,'Wage Detail Linked'!$E$5:$E$105,"")</f>
      </c>
      <c r="O10" s="4">
        <f>IF(SUMIFS('Wage Detail Linked'!$O$5:$O$105,'Wage Detail Linked'!$B$5:$B$105,$A10,'Wage Detail Linked'!$C$5:$C$105,N$2,'Wage Detail Linked'!$E$5:$E$105,"")=0,IF(N10&gt;0,ROUND(N10*90,2),0),ROUND(SUMIFS('Wage Detail Linked'!$R$5:$R$105,'Wage Detail Linked'!$B$5:$B$105,$A10,'Wage Detail Linked'!$C$5:$C$105,N$2,'Wage Detail Linked'!$E$5:$E$105,"")*N10/SUMIFS('Wage Detail Linked'!$O$5:$O$105,'Wage Detail Linked'!$B$5:$B$105,$A10,'Wage Detail Linked'!$C$5:$C$105,N$2,'Wage Detail Linked'!$E$5:$E$105,""),2))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740</v>
      </c>
      <c r="X10" s="7">
        <v>740</v>
      </c>
      <c r="Y10" s="4">
        <f>MAX(0,1600-X10)</f>
      </c>
      <c r="Z10" s="4">
        <f>U10+X10</f>
      </c>
      <c r="AA10" s="13">
        <f>MAX(0,S10-Z10)</f>
      </c>
      <c r="AB10" s="36" t="inlineStr">
        <is>
          <t xml:space="preserve">1. FIXED R260,00/week — Eggs, every week since 2026-08-01, ongoing until the owner ends it. Not a loan.
2. LOAN #2 R900,00 given 2026-08-11 (cash advance): R350,00 deducted this week; now fully repaid — CLOSED, nothing further.
3. LOAN #3 R600,00 given 2026-08-16 (cash advance): R150,00 deducted this week (only what was left); now fully repaid — CLOSED, nothing further.
4. LOAN #6 R600,00 given 2026-09-01 (children's school trip): R240,00 deducted this week; R360,00 still owing → R250,00/week from next payroll.
5. LOAN #8 R500,00 given 2026-09-22 (fuel / oil): NOTHING taken this week by owner decision — R500,00 still owing, R250,00/week from the next payroll.</t>
        </is>
      </c>
    </row>
    <row r="11">
      <c r="A11" s="37" t="inlineStr">
        <is>
          <t xml:space="preserve">John Simbarashe Mhlanga</t>
        </is>
      </c>
      <c r="B11" s="16">
        <f>SUMIFS('Wage Detail Linked'!$O$5:$O$105,'Wage Detail Linked'!$B$5:$B$105,$A11,'Wage Detail Linked'!$C$5:$C$105,B$2,'Wage Detail Linked'!$E$5:$E$105,"")</f>
      </c>
      <c r="C11" s="4">
        <f>IF(SUMIFS('Wage Detail Linked'!$O$5:$O$105,'Wage Detail Linked'!$B$5:$B$105,$A11,'Wage Detail Linked'!$C$5:$C$105,B$2,'Wage Detail Linked'!$E$5:$E$105,"")=0,IF(B11&gt;0,ROUND(B11*90,2),0),ROUND(SUMIFS('Wage Detail Linked'!$R$5:$R$105,'Wage Detail Linked'!$B$5:$B$105,$A11,'Wage Detail Linked'!$C$5:$C$105,B$2,'Wage Detail Linked'!$E$5:$E$105,"")*B11/SUMIFS('Wage Detail Linked'!$O$5:$O$105,'Wage Detail Linked'!$B$5:$B$105,$A11,'Wage Detail Linked'!$C$5:$C$105,B$2,'Wage Detail Linked'!$E$5:$E$105,""),2))</f>
      </c>
      <c r="D11" s="16">
        <f>SUMIFS('Wage Detail Linked'!$O$5:$O$105,'Wage Detail Linked'!$B$5:$B$105,$A11,'Wage Detail Linked'!$C$5:$C$105,D$2,'Wage Detail Linked'!$E$5:$E$105,"")</f>
      </c>
      <c r="E11" s="4">
        <f>IF(SUMIFS('Wage Detail Linked'!$O$5:$O$105,'Wage Detail Linked'!$B$5:$B$105,$A11,'Wage Detail Linked'!$C$5:$C$105,D$2,'Wage Detail Linked'!$E$5:$E$105,"")=0,IF(D11&gt;0,ROUND(D11*90,2),0),ROUND(SUMIFS('Wage Detail Linked'!$R$5:$R$105,'Wage Detail Linked'!$B$5:$B$105,$A11,'Wage Detail Linked'!$C$5:$C$105,D$2,'Wage Detail Linked'!$E$5:$E$105,"")*D11/SUMIFS('Wage Detail Linked'!$O$5:$O$105,'Wage Detail Linked'!$B$5:$B$105,$A11,'Wage Detail Linked'!$C$5:$C$105,D$2,'Wage Detail Linked'!$E$5:$E$105,""),2))</f>
      </c>
      <c r="F11" s="16">
        <f>SUMIFS('Wage Detail Linked'!$O$5:$O$105,'Wage Detail Linked'!$B$5:$B$105,$A11,'Wage Detail Linked'!$C$5:$C$105,F$2,'Wage Detail Linked'!$E$5:$E$105,"")</f>
      </c>
      <c r="G11" s="4">
        <f>IF(SUMIFS('Wage Detail Linked'!$O$5:$O$105,'Wage Detail Linked'!$B$5:$B$105,$A11,'Wage Detail Linked'!$C$5:$C$105,F$2,'Wage Detail Linked'!$E$5:$E$105,"")=0,IF(F11&gt;0,ROUND(F11*90,2),0),ROUND(SUMIFS('Wage Detail Linked'!$R$5:$R$105,'Wage Detail Linked'!$B$5:$B$105,$A11,'Wage Detail Linked'!$C$5:$C$105,F$2,'Wage Detail Linked'!$E$5:$E$105,"")*F11/SUMIFS('Wage Detail Linked'!$O$5:$O$105,'Wage Detail Linked'!$B$5:$B$105,$A11,'Wage Detail Linked'!$C$5:$C$105,F$2,'Wage Detail Linked'!$E$5:$E$105,""),2))</f>
      </c>
      <c r="H11" s="16">
        <f>SUMIFS('Wage Detail Linked'!$O$5:$O$105,'Wage Detail Linked'!$B$5:$B$105,$A11,'Wage Detail Linked'!$C$5:$C$105,H$2,'Wage Detail Linked'!$E$5:$E$105,"")</f>
      </c>
      <c r="I11" s="4">
        <f>IF(SUMIFS('Wage Detail Linked'!$O$5:$O$105,'Wage Detail Linked'!$B$5:$B$105,$A11,'Wage Detail Linked'!$C$5:$C$105,H$2,'Wage Detail Linked'!$E$5:$E$105,"")=0,IF(H11&gt;0,ROUND(H11*90,2),0),ROUND(SUMIFS('Wage Detail Linked'!$R$5:$R$105,'Wage Detail Linked'!$B$5:$B$105,$A11,'Wage Detail Linked'!$C$5:$C$105,H$2,'Wage Detail Linked'!$E$5:$E$105,"")*H11/SUMIFS('Wage Detail Linked'!$O$5:$O$105,'Wage Detail Linked'!$B$5:$B$105,$A11,'Wage Detail Linked'!$C$5:$C$105,H$2,'Wage Detail Linked'!$E$5:$E$105,""),2))</f>
      </c>
      <c r="J11" s="16">
        <f>SUMIFS('Wage Detail Linked'!$O$5:$O$105,'Wage Detail Linked'!$B$5:$B$105,$A11,'Wage Detail Linked'!$C$5:$C$105,J$2,'Wage Detail Linked'!$E$5:$E$105,"")</f>
      </c>
      <c r="K11" s="4">
        <f>IF(SUMIFS('Wage Detail Linked'!$O$5:$O$105,'Wage Detail Linked'!$B$5:$B$105,$A11,'Wage Detail Linked'!$C$5:$C$105,J$2,'Wage Detail Linked'!$E$5:$E$105,"")=0,IF(J11&gt;0,ROUND(J11*90,2),0),ROUND(SUMIFS('Wage Detail Linked'!$R$5:$R$105,'Wage Detail Linked'!$B$5:$B$105,$A11,'Wage Detail Linked'!$C$5:$C$105,J$2,'Wage Detail Linked'!$E$5:$E$105,"")*J11/SUMIFS('Wage Detail Linked'!$O$5:$O$105,'Wage Detail Linked'!$B$5:$B$105,$A11,'Wage Detail Linked'!$C$5:$C$105,J$2,'Wage Detail Linked'!$E$5:$E$105,""),2))</f>
      </c>
      <c r="L11" s="16">
        <f>SUMIFS('Wage Detail Linked'!$O$5:$O$105,'Wage Detail Linked'!$B$5:$B$105,$A11,'Wage Detail Linked'!$C$5:$C$105,L$2,'Wage Detail Linked'!$E$5:$E$105,"")</f>
      </c>
      <c r="M11" s="4">
        <f>IF(SUMIFS('Wage Detail Linked'!$O$5:$O$105,'Wage Detail Linked'!$B$5:$B$105,$A11,'Wage Detail Linked'!$C$5:$C$105,L$2,'Wage Detail Linked'!$E$5:$E$105,"")=0,IF(L11&gt;0,ROUND(L11*90,2),0),ROUND(SUMIFS('Wage Detail Linked'!$R$5:$R$105,'Wage Detail Linked'!$B$5:$B$105,$A11,'Wage Detail Linked'!$C$5:$C$105,L$2,'Wage Detail Linked'!$E$5:$E$105,"")*L11/SUMIFS('Wage Detail Linked'!$O$5:$O$105,'Wage Detail Linked'!$B$5:$B$105,$A11,'Wage Detail Linked'!$C$5:$C$105,L$2,'Wage Detail Linked'!$E$5:$E$105,""),2))</f>
      </c>
      <c r="N11" s="16">
        <f>SUMIFS('Wage Detail Linked'!$O$5:$O$105,'Wage Detail Linked'!$B$5:$B$105,$A11,'Wage Detail Linked'!$C$5:$C$105,N$2,'Wage Detail Linked'!$E$5:$E$105,"")</f>
      </c>
      <c r="O11" s="4">
        <f>IF(SUMIFS('Wage Detail Linked'!$O$5:$O$105,'Wage Detail Linked'!$B$5:$B$105,$A11,'Wage Detail Linked'!$C$5:$C$105,N$2,'Wage Detail Linked'!$E$5:$E$105,"")=0,IF(N11&gt;0,ROUND(N11*90,2),0),ROUND(SUMIFS('Wage Detail Linked'!$R$5:$R$105,'Wage Detail Linked'!$B$5:$B$105,$A11,'Wage Detail Linked'!$C$5:$C$105,N$2,'Wage Detail Linked'!$E$5:$E$105,"")*N11/SUMIFS('Wage Detail Linked'!$O$5:$O$105,'Wage Detail Linked'!$B$5:$B$105,$A11,'Wage Detail Linked'!$C$5:$C$105,N$2,'Wage Detail Linked'!$E$5:$E$105,""),2))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  <c r="AB11" s="36"/>
    </row>
    <row r="12" ht="43" customHeight="1">
      <c r="A12" s="37" t="inlineStr">
        <is>
          <t xml:space="preserve">Joshua Motsamai Nteo</t>
        </is>
      </c>
      <c r="B12" s="16">
        <f>SUMIFS('Wage Detail Linked'!$O$5:$O$105,'Wage Detail Linked'!$B$5:$B$105,$A12,'Wage Detail Linked'!$C$5:$C$105,B$2,'Wage Detail Linked'!$E$5:$E$105,"")</f>
      </c>
      <c r="C12" s="4">
        <f>IF(SUMIFS('Wage Detail Linked'!$O$5:$O$105,'Wage Detail Linked'!$B$5:$B$105,$A12,'Wage Detail Linked'!$C$5:$C$105,B$2,'Wage Detail Linked'!$E$5:$E$105,"")=0,IF(B12&gt;0,ROUND(B12*90,2),0),ROUND(SUMIFS('Wage Detail Linked'!$R$5:$R$105,'Wage Detail Linked'!$B$5:$B$105,$A12,'Wage Detail Linked'!$C$5:$C$105,B$2,'Wage Detail Linked'!$E$5:$E$105,"")*B12/SUMIFS('Wage Detail Linked'!$O$5:$O$105,'Wage Detail Linked'!$B$5:$B$105,$A12,'Wage Detail Linked'!$C$5:$C$105,B$2,'Wage Detail Linked'!$E$5:$E$105,""),2))</f>
      </c>
      <c r="D12" s="16">
        <f>SUMIFS('Wage Detail Linked'!$O$5:$O$105,'Wage Detail Linked'!$B$5:$B$105,$A12,'Wage Detail Linked'!$C$5:$C$105,D$2,'Wage Detail Linked'!$E$5:$E$105,"")</f>
      </c>
      <c r="E12" s="4">
        <f>IF(SUMIFS('Wage Detail Linked'!$O$5:$O$105,'Wage Detail Linked'!$B$5:$B$105,$A12,'Wage Detail Linked'!$C$5:$C$105,D$2,'Wage Detail Linked'!$E$5:$E$105,"")=0,IF(D12&gt;0,ROUND(D12*90,2),0),ROUND(SUMIFS('Wage Detail Linked'!$R$5:$R$105,'Wage Detail Linked'!$B$5:$B$105,$A12,'Wage Detail Linked'!$C$5:$C$105,D$2,'Wage Detail Linked'!$E$5:$E$105,"")*D12/SUMIFS('Wage Detail Linked'!$O$5:$O$105,'Wage Detail Linked'!$B$5:$B$105,$A12,'Wage Detail Linked'!$C$5:$C$105,D$2,'Wage Detail Linked'!$E$5:$E$105,""),2))</f>
      </c>
      <c r="F12" s="16">
        <f>SUMIFS('Wage Detail Linked'!$O$5:$O$105,'Wage Detail Linked'!$B$5:$B$105,$A12,'Wage Detail Linked'!$C$5:$C$105,F$2,'Wage Detail Linked'!$E$5:$E$105,"")</f>
      </c>
      <c r="G12" s="4">
        <f>IF(SUMIFS('Wage Detail Linked'!$O$5:$O$105,'Wage Detail Linked'!$B$5:$B$105,$A12,'Wage Detail Linked'!$C$5:$C$105,F$2,'Wage Detail Linked'!$E$5:$E$105,"")=0,IF(F12&gt;0,ROUND(F12*90,2),0),ROUND(SUMIFS('Wage Detail Linked'!$R$5:$R$105,'Wage Detail Linked'!$B$5:$B$105,$A12,'Wage Detail Linked'!$C$5:$C$105,F$2,'Wage Detail Linked'!$E$5:$E$105,"")*F12/SUMIFS('Wage Detail Linked'!$O$5:$O$105,'Wage Detail Linked'!$B$5:$B$105,$A12,'Wage Detail Linked'!$C$5:$C$105,F$2,'Wage Detail Linked'!$E$5:$E$105,""),2))</f>
      </c>
      <c r="H12" s="16">
        <f>SUMIFS('Wage Detail Linked'!$O$5:$O$105,'Wage Detail Linked'!$B$5:$B$105,$A12,'Wage Detail Linked'!$C$5:$C$105,H$2,'Wage Detail Linked'!$E$5:$E$105,"")</f>
      </c>
      <c r="I12" s="4">
        <f>IF(SUMIFS('Wage Detail Linked'!$O$5:$O$105,'Wage Detail Linked'!$B$5:$B$105,$A12,'Wage Detail Linked'!$C$5:$C$105,H$2,'Wage Detail Linked'!$E$5:$E$105,"")=0,IF(H12&gt;0,ROUND(H12*90,2),0),ROUND(SUMIFS('Wage Detail Linked'!$R$5:$R$105,'Wage Detail Linked'!$B$5:$B$105,$A12,'Wage Detail Linked'!$C$5:$C$105,H$2,'Wage Detail Linked'!$E$5:$E$105,"")*H12/SUMIFS('Wage Detail Linked'!$O$5:$O$105,'Wage Detail Linked'!$B$5:$B$105,$A12,'Wage Detail Linked'!$C$5:$C$105,H$2,'Wage Detail Linked'!$E$5:$E$105,""),2))</f>
      </c>
      <c r="J12" s="16">
        <f>SUMIFS('Wage Detail Linked'!$O$5:$O$105,'Wage Detail Linked'!$B$5:$B$105,$A12,'Wage Detail Linked'!$C$5:$C$105,J$2,'Wage Detail Linked'!$E$5:$E$105,"")</f>
      </c>
      <c r="K12" s="4">
        <f>IF(SUMIFS('Wage Detail Linked'!$O$5:$O$105,'Wage Detail Linked'!$B$5:$B$105,$A12,'Wage Detail Linked'!$C$5:$C$105,J$2,'Wage Detail Linked'!$E$5:$E$105,"")=0,IF(J12&gt;0,ROUND(J12*90,2),0),ROUND(SUMIFS('Wage Detail Linked'!$R$5:$R$105,'Wage Detail Linked'!$B$5:$B$105,$A12,'Wage Detail Linked'!$C$5:$C$105,J$2,'Wage Detail Linked'!$E$5:$E$105,"")*J12/SUMIFS('Wage Detail Linked'!$O$5:$O$105,'Wage Detail Linked'!$B$5:$B$105,$A12,'Wage Detail Linked'!$C$5:$C$105,J$2,'Wage Detail Linked'!$E$5:$E$105,""),2))</f>
      </c>
      <c r="L12" s="16">
        <f>SUMIFS('Wage Detail Linked'!$O$5:$O$105,'Wage Detail Linked'!$B$5:$B$105,$A12,'Wage Detail Linked'!$C$5:$C$105,L$2,'Wage Detail Linked'!$E$5:$E$105,"")</f>
      </c>
      <c r="M12" s="4">
        <f>IF(SUMIFS('Wage Detail Linked'!$O$5:$O$105,'Wage Detail Linked'!$B$5:$B$105,$A12,'Wage Detail Linked'!$C$5:$C$105,L$2,'Wage Detail Linked'!$E$5:$E$105,"")=0,IF(L12&gt;0,ROUND(L12*90,2),0),ROUND(SUMIFS('Wage Detail Linked'!$R$5:$R$105,'Wage Detail Linked'!$B$5:$B$105,$A12,'Wage Detail Linked'!$C$5:$C$105,L$2,'Wage Detail Linked'!$E$5:$E$105,"")*L12/SUMIFS('Wage Detail Linked'!$O$5:$O$105,'Wage Detail Linked'!$B$5:$B$105,$A12,'Wage Detail Linked'!$C$5:$C$105,L$2,'Wage Detail Linked'!$E$5:$E$105,""),2))</f>
      </c>
      <c r="N12" s="16">
        <f>SUMIFS('Wage Detail Linked'!$O$5:$O$105,'Wage Detail Linked'!$B$5:$B$105,$A12,'Wage Detail Linked'!$C$5:$C$105,N$2,'Wage Detail Linked'!$E$5:$E$105,"")</f>
      </c>
      <c r="O12" s="4">
        <f>IF(SUMIFS('Wage Detail Linked'!$O$5:$O$105,'Wage Detail Linked'!$B$5:$B$105,$A12,'Wage Detail Linked'!$C$5:$C$105,N$2,'Wage Detail Linked'!$E$5:$E$105,"")=0,IF(N12&gt;0,ROUND(N12*90,2),0),ROUND(SUMIFS('Wage Detail Linked'!$R$5:$R$105,'Wage Detail Linked'!$B$5:$B$105,$A12,'Wage Detail Linked'!$C$5:$C$105,N$2,'Wage Detail Linked'!$E$5:$E$105,"")*N12/SUMIFS('Wage Detail Linked'!$O$5:$O$105,'Wage Detail Linked'!$B$5:$B$105,$A12,'Wage Detail Linked'!$C$5:$C$105,N$2,'Wage Detail Linked'!$E$5:$E$105,""),2))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  <c r="AB12" s="36" t="inlineStr">
        <is>
          <t xml:space="preserve">FIXED R1 000,00/week — Car Payment (vehicle: held from wages weekly, paid over to the worker on the 25th of each month), every week since 2026-09-26, ongoing until the owner ends it. Not a loan.</t>
        </is>
      </c>
    </row>
    <row r="13">
      <c r="A13" s="37" t="inlineStr">
        <is>
          <t xml:space="preserve">Lebo Lebo</t>
        </is>
      </c>
      <c r="B13" s="16">
        <f>SUMIFS('Wage Detail Linked'!$O$5:$O$105,'Wage Detail Linked'!$B$5:$B$105,$A13,'Wage Detail Linked'!$C$5:$C$105,B$2,'Wage Detail Linked'!$E$5:$E$105,"")</f>
      </c>
      <c r="C13" s="4">
        <f>IF(SUMIFS('Wage Detail Linked'!$O$5:$O$105,'Wage Detail Linked'!$B$5:$B$105,$A13,'Wage Detail Linked'!$C$5:$C$105,B$2,'Wage Detail Linked'!$E$5:$E$105,"")=0,IF(B13&gt;0,ROUND(B13*90,2),0),ROUND(SUMIFS('Wage Detail Linked'!$R$5:$R$105,'Wage Detail Linked'!$B$5:$B$105,$A13,'Wage Detail Linked'!$C$5:$C$105,B$2,'Wage Detail Linked'!$E$5:$E$105,"")*B13/SUMIFS('Wage Detail Linked'!$O$5:$O$105,'Wage Detail Linked'!$B$5:$B$105,$A13,'Wage Detail Linked'!$C$5:$C$105,B$2,'Wage Detail Linked'!$E$5:$E$105,""),2))</f>
      </c>
      <c r="D13" s="16">
        <f>SUMIFS('Wage Detail Linked'!$O$5:$O$105,'Wage Detail Linked'!$B$5:$B$105,$A13,'Wage Detail Linked'!$C$5:$C$105,D$2,'Wage Detail Linked'!$E$5:$E$105,"")</f>
      </c>
      <c r="E13" s="4">
        <f>IF(SUMIFS('Wage Detail Linked'!$O$5:$O$105,'Wage Detail Linked'!$B$5:$B$105,$A13,'Wage Detail Linked'!$C$5:$C$105,D$2,'Wage Detail Linked'!$E$5:$E$105,"")=0,IF(D13&gt;0,ROUND(D13*90,2),0),ROUND(SUMIFS('Wage Detail Linked'!$R$5:$R$105,'Wage Detail Linked'!$B$5:$B$105,$A13,'Wage Detail Linked'!$C$5:$C$105,D$2,'Wage Detail Linked'!$E$5:$E$105,"")*D13/SUMIFS('Wage Detail Linked'!$O$5:$O$105,'Wage Detail Linked'!$B$5:$B$105,$A13,'Wage Detail Linked'!$C$5:$C$105,D$2,'Wage Detail Linked'!$E$5:$E$105,""),2))</f>
      </c>
      <c r="F13" s="16">
        <f>SUMIFS('Wage Detail Linked'!$O$5:$O$105,'Wage Detail Linked'!$B$5:$B$105,$A13,'Wage Detail Linked'!$C$5:$C$105,F$2,'Wage Detail Linked'!$E$5:$E$105,"")</f>
      </c>
      <c r="G13" s="4">
        <f>IF(SUMIFS('Wage Detail Linked'!$O$5:$O$105,'Wage Detail Linked'!$B$5:$B$105,$A13,'Wage Detail Linked'!$C$5:$C$105,F$2,'Wage Detail Linked'!$E$5:$E$105,"")=0,IF(F13&gt;0,ROUND(F13*90,2),0),ROUND(SUMIFS('Wage Detail Linked'!$R$5:$R$105,'Wage Detail Linked'!$B$5:$B$105,$A13,'Wage Detail Linked'!$C$5:$C$105,F$2,'Wage Detail Linked'!$E$5:$E$105,"")*F13/SUMIFS('Wage Detail Linked'!$O$5:$O$105,'Wage Detail Linked'!$B$5:$B$105,$A13,'Wage Detail Linked'!$C$5:$C$105,F$2,'Wage Detail Linked'!$E$5:$E$105,""),2))</f>
      </c>
      <c r="H13" s="16">
        <f>SUMIFS('Wage Detail Linked'!$O$5:$O$105,'Wage Detail Linked'!$B$5:$B$105,$A13,'Wage Detail Linked'!$C$5:$C$105,H$2,'Wage Detail Linked'!$E$5:$E$105,"")</f>
      </c>
      <c r="I13" s="4">
        <f>IF(SUMIFS('Wage Detail Linked'!$O$5:$O$105,'Wage Detail Linked'!$B$5:$B$105,$A13,'Wage Detail Linked'!$C$5:$C$105,H$2,'Wage Detail Linked'!$E$5:$E$105,"")=0,IF(H13&gt;0,ROUND(H13*90,2),0),ROUND(SUMIFS('Wage Detail Linked'!$R$5:$R$105,'Wage Detail Linked'!$B$5:$B$105,$A13,'Wage Detail Linked'!$C$5:$C$105,H$2,'Wage Detail Linked'!$E$5:$E$105,"")*H13/SUMIFS('Wage Detail Linked'!$O$5:$O$105,'Wage Detail Linked'!$B$5:$B$105,$A13,'Wage Detail Linked'!$C$5:$C$105,H$2,'Wage Detail Linked'!$E$5:$E$105,""),2))</f>
      </c>
      <c r="J13" s="16">
        <f>SUMIFS('Wage Detail Linked'!$O$5:$O$105,'Wage Detail Linked'!$B$5:$B$105,$A13,'Wage Detail Linked'!$C$5:$C$105,J$2,'Wage Detail Linked'!$E$5:$E$105,"")</f>
      </c>
      <c r="K13" s="4">
        <f>IF(SUMIFS('Wage Detail Linked'!$O$5:$O$105,'Wage Detail Linked'!$B$5:$B$105,$A13,'Wage Detail Linked'!$C$5:$C$105,J$2,'Wage Detail Linked'!$E$5:$E$105,"")=0,IF(J13&gt;0,ROUND(J13*90,2),0),ROUND(SUMIFS('Wage Detail Linked'!$R$5:$R$105,'Wage Detail Linked'!$B$5:$B$105,$A13,'Wage Detail Linked'!$C$5:$C$105,J$2,'Wage Detail Linked'!$E$5:$E$105,"")*J13/SUMIFS('Wage Detail Linked'!$O$5:$O$105,'Wage Detail Linked'!$B$5:$B$105,$A13,'Wage Detail Linked'!$C$5:$C$105,J$2,'Wage Detail Linked'!$E$5:$E$105,""),2))</f>
      </c>
      <c r="L13" s="16">
        <f>SUMIFS('Wage Detail Linked'!$O$5:$O$105,'Wage Detail Linked'!$B$5:$B$105,$A13,'Wage Detail Linked'!$C$5:$C$105,L$2,'Wage Detail Linked'!$E$5:$E$105,"")</f>
      </c>
      <c r="M13" s="4">
        <f>IF(SUMIFS('Wage Detail Linked'!$O$5:$O$105,'Wage Detail Linked'!$B$5:$B$105,$A13,'Wage Detail Linked'!$C$5:$C$105,L$2,'Wage Detail Linked'!$E$5:$E$105,"")=0,IF(L13&gt;0,ROUND(L13*90,2),0),ROUND(SUMIFS('Wage Detail Linked'!$R$5:$R$105,'Wage Detail Linked'!$B$5:$B$105,$A13,'Wage Detail Linked'!$C$5:$C$105,L$2,'Wage Detail Linked'!$E$5:$E$105,"")*L13/SUMIFS('Wage Detail Linked'!$O$5:$O$105,'Wage Detail Linked'!$B$5:$B$105,$A13,'Wage Detail Linked'!$C$5:$C$105,L$2,'Wage Detail Linked'!$E$5:$E$105,""),2))</f>
      </c>
      <c r="N13" s="16">
        <f>SUMIFS('Wage Detail Linked'!$O$5:$O$105,'Wage Detail Linked'!$B$5:$B$105,$A13,'Wage Detail Linked'!$C$5:$C$105,N$2,'Wage Detail Linked'!$E$5:$E$105,"")</f>
      </c>
      <c r="O13" s="4">
        <f>IF(SUMIFS('Wage Detail Linked'!$O$5:$O$105,'Wage Detail Linked'!$B$5:$B$105,$A13,'Wage Detail Linked'!$C$5:$C$105,N$2,'Wage Detail Linked'!$E$5:$E$105,"")=0,IF(N13&gt;0,ROUND(N13*90,2),0),ROUND(SUMIFS('Wage Detail Linked'!$R$5:$R$105,'Wage Detail Linked'!$B$5:$B$105,$A13,'Wage Detail Linked'!$C$5:$C$105,N$2,'Wage Detail Linked'!$E$5:$E$105,"")*N13/SUMIFS('Wage Detail Linked'!$O$5:$O$105,'Wage Detail Linked'!$B$5:$B$105,$A13,'Wage Detail Linked'!$C$5:$C$105,N$2,'Wage Detail Linked'!$E$5:$E$105,""),2))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  <c r="AB13" s="36"/>
    </row>
    <row r="14">
      <c r="A14" s="37" t="inlineStr">
        <is>
          <t xml:space="preserve">Patrick Ngozo</t>
        </is>
      </c>
      <c r="B14" s="16">
        <f>SUMIFS('Wage Detail Linked'!$O$5:$O$105,'Wage Detail Linked'!$B$5:$B$105,$A14,'Wage Detail Linked'!$C$5:$C$105,B$2,'Wage Detail Linked'!$E$5:$E$105,"")</f>
      </c>
      <c r="C14" s="4">
        <f>IF(SUMIFS('Wage Detail Linked'!$O$5:$O$105,'Wage Detail Linked'!$B$5:$B$105,$A14,'Wage Detail Linked'!$C$5:$C$105,B$2,'Wage Detail Linked'!$E$5:$E$105,"")=0,IF(B14&gt;0,ROUND(B14*90,2),0),ROUND(SUMIFS('Wage Detail Linked'!$R$5:$R$105,'Wage Detail Linked'!$B$5:$B$105,$A14,'Wage Detail Linked'!$C$5:$C$105,B$2,'Wage Detail Linked'!$E$5:$E$105,"")*B14/SUMIFS('Wage Detail Linked'!$O$5:$O$105,'Wage Detail Linked'!$B$5:$B$105,$A14,'Wage Detail Linked'!$C$5:$C$105,B$2,'Wage Detail Linked'!$E$5:$E$105,""),2))</f>
      </c>
      <c r="D14" s="16">
        <f>SUMIFS('Wage Detail Linked'!$O$5:$O$105,'Wage Detail Linked'!$B$5:$B$105,$A14,'Wage Detail Linked'!$C$5:$C$105,D$2,'Wage Detail Linked'!$E$5:$E$105,"")</f>
      </c>
      <c r="E14" s="4">
        <f>IF(SUMIFS('Wage Detail Linked'!$O$5:$O$105,'Wage Detail Linked'!$B$5:$B$105,$A14,'Wage Detail Linked'!$C$5:$C$105,D$2,'Wage Detail Linked'!$E$5:$E$105,"")=0,IF(D14&gt;0,ROUND(D14*90,2),0),ROUND(SUMIFS('Wage Detail Linked'!$R$5:$R$105,'Wage Detail Linked'!$B$5:$B$105,$A14,'Wage Detail Linked'!$C$5:$C$105,D$2,'Wage Detail Linked'!$E$5:$E$105,"")*D14/SUMIFS('Wage Detail Linked'!$O$5:$O$105,'Wage Detail Linked'!$B$5:$B$105,$A14,'Wage Detail Linked'!$C$5:$C$105,D$2,'Wage Detail Linked'!$E$5:$E$105,""),2))</f>
      </c>
      <c r="F14" s="16">
        <f>SUMIFS('Wage Detail Linked'!$O$5:$O$105,'Wage Detail Linked'!$B$5:$B$105,$A14,'Wage Detail Linked'!$C$5:$C$105,F$2,'Wage Detail Linked'!$E$5:$E$105,"")</f>
      </c>
      <c r="G14" s="4">
        <f>IF(SUMIFS('Wage Detail Linked'!$O$5:$O$105,'Wage Detail Linked'!$B$5:$B$105,$A14,'Wage Detail Linked'!$C$5:$C$105,F$2,'Wage Detail Linked'!$E$5:$E$105,"")=0,IF(F14&gt;0,ROUND(F14*90,2),0),ROUND(SUMIFS('Wage Detail Linked'!$R$5:$R$105,'Wage Detail Linked'!$B$5:$B$105,$A14,'Wage Detail Linked'!$C$5:$C$105,F$2,'Wage Detail Linked'!$E$5:$E$105,"")*F14/SUMIFS('Wage Detail Linked'!$O$5:$O$105,'Wage Detail Linked'!$B$5:$B$105,$A14,'Wage Detail Linked'!$C$5:$C$105,F$2,'Wage Detail Linked'!$E$5:$E$105,""),2))</f>
      </c>
      <c r="H14" s="16">
        <f>SUMIFS('Wage Detail Linked'!$O$5:$O$105,'Wage Detail Linked'!$B$5:$B$105,$A14,'Wage Detail Linked'!$C$5:$C$105,H$2,'Wage Detail Linked'!$E$5:$E$105,"")</f>
      </c>
      <c r="I14" s="4">
        <f>IF(SUMIFS('Wage Detail Linked'!$O$5:$O$105,'Wage Detail Linked'!$B$5:$B$105,$A14,'Wage Detail Linked'!$C$5:$C$105,H$2,'Wage Detail Linked'!$E$5:$E$105,"")=0,IF(H14&gt;0,ROUND(H14*90,2),0),ROUND(SUMIFS('Wage Detail Linked'!$R$5:$R$105,'Wage Detail Linked'!$B$5:$B$105,$A14,'Wage Detail Linked'!$C$5:$C$105,H$2,'Wage Detail Linked'!$E$5:$E$105,"")*H14/SUMIFS('Wage Detail Linked'!$O$5:$O$105,'Wage Detail Linked'!$B$5:$B$105,$A14,'Wage Detail Linked'!$C$5:$C$105,H$2,'Wage Detail Linked'!$E$5:$E$105,""),2))</f>
      </c>
      <c r="J14" s="16">
        <f>SUMIFS('Wage Detail Linked'!$O$5:$O$105,'Wage Detail Linked'!$B$5:$B$105,$A14,'Wage Detail Linked'!$C$5:$C$105,J$2,'Wage Detail Linked'!$E$5:$E$105,"")</f>
      </c>
      <c r="K14" s="4">
        <f>IF(SUMIFS('Wage Detail Linked'!$O$5:$O$105,'Wage Detail Linked'!$B$5:$B$105,$A14,'Wage Detail Linked'!$C$5:$C$105,J$2,'Wage Detail Linked'!$E$5:$E$105,"")=0,IF(J14&gt;0,ROUND(J14*90,2),0),ROUND(SUMIFS('Wage Detail Linked'!$R$5:$R$105,'Wage Detail Linked'!$B$5:$B$105,$A14,'Wage Detail Linked'!$C$5:$C$105,J$2,'Wage Detail Linked'!$E$5:$E$105,"")*J14/SUMIFS('Wage Detail Linked'!$O$5:$O$105,'Wage Detail Linked'!$B$5:$B$105,$A14,'Wage Detail Linked'!$C$5:$C$105,J$2,'Wage Detail Linked'!$E$5:$E$105,""),2))</f>
      </c>
      <c r="L14" s="16">
        <f>SUMIFS('Wage Detail Linked'!$O$5:$O$105,'Wage Detail Linked'!$B$5:$B$105,$A14,'Wage Detail Linked'!$C$5:$C$105,L$2,'Wage Detail Linked'!$E$5:$E$105,"")</f>
      </c>
      <c r="M14" s="4">
        <f>IF(SUMIFS('Wage Detail Linked'!$O$5:$O$105,'Wage Detail Linked'!$B$5:$B$105,$A14,'Wage Detail Linked'!$C$5:$C$105,L$2,'Wage Detail Linked'!$E$5:$E$105,"")=0,IF(L14&gt;0,ROUND(L14*90,2),0),ROUND(SUMIFS('Wage Detail Linked'!$R$5:$R$105,'Wage Detail Linked'!$B$5:$B$105,$A14,'Wage Detail Linked'!$C$5:$C$105,L$2,'Wage Detail Linked'!$E$5:$E$105,"")*L14/SUMIFS('Wage Detail Linked'!$O$5:$O$105,'Wage Detail Linked'!$B$5:$B$105,$A14,'Wage Detail Linked'!$C$5:$C$105,L$2,'Wage Detail Linked'!$E$5:$E$105,""),2))</f>
      </c>
      <c r="N14" s="16">
        <f>SUMIFS('Wage Detail Linked'!$O$5:$O$105,'Wage Detail Linked'!$B$5:$B$105,$A14,'Wage Detail Linked'!$C$5:$C$105,N$2,'Wage Detail Linked'!$E$5:$E$105,"")</f>
      </c>
      <c r="O14" s="4">
        <f>IF(SUMIFS('Wage Detail Linked'!$O$5:$O$105,'Wage Detail Linked'!$B$5:$B$105,$A14,'Wage Detail Linked'!$C$5:$C$105,N$2,'Wage Detail Linked'!$E$5:$E$105,"")=0,IF(N14&gt;0,ROUND(N14*90,2),0),ROUND(SUMIFS('Wage Detail Linked'!$R$5:$R$105,'Wage Detail Linked'!$B$5:$B$105,$A14,'Wage Detail Linked'!$C$5:$C$105,N$2,'Wage Detail Linked'!$E$5:$E$105,"")*N14/SUMIFS('Wage Detail Linked'!$O$5:$O$105,'Wage Detail Linked'!$B$5:$B$105,$A14,'Wage Detail Linked'!$C$5:$C$105,N$2,'Wage Detail Linked'!$E$5:$E$105,""),2))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  <c r="AB14" s="36"/>
    </row>
    <row r="15">
      <c r="A15" s="37" t="inlineStr">
        <is>
          <t xml:space="preserve">Sharleen Ndlovu</t>
        </is>
      </c>
      <c r="B15" s="16">
        <f>SUMIFS('Wage Detail Linked'!$O$5:$O$105,'Wage Detail Linked'!$B$5:$B$105,$A15,'Wage Detail Linked'!$C$5:$C$105,B$2,'Wage Detail Linked'!$E$5:$E$105,"")</f>
      </c>
      <c r="C15" s="4">
        <f>IF(SUMIFS('Wage Detail Linked'!$O$5:$O$105,'Wage Detail Linked'!$B$5:$B$105,$A15,'Wage Detail Linked'!$C$5:$C$105,B$2,'Wage Detail Linked'!$E$5:$E$105,"")=0,IF(B15&gt;0,ROUND(B15*90,2),0),ROUND(SUMIFS('Wage Detail Linked'!$R$5:$R$105,'Wage Detail Linked'!$B$5:$B$105,$A15,'Wage Detail Linked'!$C$5:$C$105,B$2,'Wage Detail Linked'!$E$5:$E$105,"")*B15/SUMIFS('Wage Detail Linked'!$O$5:$O$105,'Wage Detail Linked'!$B$5:$B$105,$A15,'Wage Detail Linked'!$C$5:$C$105,B$2,'Wage Detail Linked'!$E$5:$E$105,""),2))</f>
      </c>
      <c r="D15" s="16">
        <f>SUMIFS('Wage Detail Linked'!$O$5:$O$105,'Wage Detail Linked'!$B$5:$B$105,$A15,'Wage Detail Linked'!$C$5:$C$105,D$2,'Wage Detail Linked'!$E$5:$E$105,"")</f>
      </c>
      <c r="E15" s="4">
        <f>IF(SUMIFS('Wage Detail Linked'!$O$5:$O$105,'Wage Detail Linked'!$B$5:$B$105,$A15,'Wage Detail Linked'!$C$5:$C$105,D$2,'Wage Detail Linked'!$E$5:$E$105,"")=0,IF(D15&gt;0,ROUND(D15*90,2),0),ROUND(SUMIFS('Wage Detail Linked'!$R$5:$R$105,'Wage Detail Linked'!$B$5:$B$105,$A15,'Wage Detail Linked'!$C$5:$C$105,D$2,'Wage Detail Linked'!$E$5:$E$105,"")*D15/SUMIFS('Wage Detail Linked'!$O$5:$O$105,'Wage Detail Linked'!$B$5:$B$105,$A15,'Wage Detail Linked'!$C$5:$C$105,D$2,'Wage Detail Linked'!$E$5:$E$105,""),2))</f>
      </c>
      <c r="F15" s="16">
        <f>SUMIFS('Wage Detail Linked'!$O$5:$O$105,'Wage Detail Linked'!$B$5:$B$105,$A15,'Wage Detail Linked'!$C$5:$C$105,F$2,'Wage Detail Linked'!$E$5:$E$105,"")</f>
      </c>
      <c r="G15" s="4">
        <f>IF(SUMIFS('Wage Detail Linked'!$O$5:$O$105,'Wage Detail Linked'!$B$5:$B$105,$A15,'Wage Detail Linked'!$C$5:$C$105,F$2,'Wage Detail Linked'!$E$5:$E$105,"")=0,IF(F15&gt;0,ROUND(F15*90,2),0),ROUND(SUMIFS('Wage Detail Linked'!$R$5:$R$105,'Wage Detail Linked'!$B$5:$B$105,$A15,'Wage Detail Linked'!$C$5:$C$105,F$2,'Wage Detail Linked'!$E$5:$E$105,"")*F15/SUMIFS('Wage Detail Linked'!$O$5:$O$105,'Wage Detail Linked'!$B$5:$B$105,$A15,'Wage Detail Linked'!$C$5:$C$105,F$2,'Wage Detail Linked'!$E$5:$E$105,""),2))</f>
      </c>
      <c r="H15" s="16">
        <f>SUMIFS('Wage Detail Linked'!$O$5:$O$105,'Wage Detail Linked'!$B$5:$B$105,$A15,'Wage Detail Linked'!$C$5:$C$105,H$2,'Wage Detail Linked'!$E$5:$E$105,"")</f>
      </c>
      <c r="I15" s="4">
        <f>IF(SUMIFS('Wage Detail Linked'!$O$5:$O$105,'Wage Detail Linked'!$B$5:$B$105,$A15,'Wage Detail Linked'!$C$5:$C$105,H$2,'Wage Detail Linked'!$E$5:$E$105,"")=0,IF(H15&gt;0,ROUND(H15*90,2),0),ROUND(SUMIFS('Wage Detail Linked'!$R$5:$R$105,'Wage Detail Linked'!$B$5:$B$105,$A15,'Wage Detail Linked'!$C$5:$C$105,H$2,'Wage Detail Linked'!$E$5:$E$105,"")*H15/SUMIFS('Wage Detail Linked'!$O$5:$O$105,'Wage Detail Linked'!$B$5:$B$105,$A15,'Wage Detail Linked'!$C$5:$C$105,H$2,'Wage Detail Linked'!$E$5:$E$105,""),2))</f>
      </c>
      <c r="J15" s="16">
        <f>SUMIFS('Wage Detail Linked'!$O$5:$O$105,'Wage Detail Linked'!$B$5:$B$105,$A15,'Wage Detail Linked'!$C$5:$C$105,J$2,'Wage Detail Linked'!$E$5:$E$105,"")</f>
      </c>
      <c r="K15" s="4">
        <f>IF(SUMIFS('Wage Detail Linked'!$O$5:$O$105,'Wage Detail Linked'!$B$5:$B$105,$A15,'Wage Detail Linked'!$C$5:$C$105,J$2,'Wage Detail Linked'!$E$5:$E$105,"")=0,IF(J15&gt;0,ROUND(J15*90,2),0),ROUND(SUMIFS('Wage Detail Linked'!$R$5:$R$105,'Wage Detail Linked'!$B$5:$B$105,$A15,'Wage Detail Linked'!$C$5:$C$105,J$2,'Wage Detail Linked'!$E$5:$E$105,"")*J15/SUMIFS('Wage Detail Linked'!$O$5:$O$105,'Wage Detail Linked'!$B$5:$B$105,$A15,'Wage Detail Linked'!$C$5:$C$105,J$2,'Wage Detail Linked'!$E$5:$E$105,""),2))</f>
      </c>
      <c r="L15" s="16">
        <f>SUMIFS('Wage Detail Linked'!$O$5:$O$105,'Wage Detail Linked'!$B$5:$B$105,$A15,'Wage Detail Linked'!$C$5:$C$105,L$2,'Wage Detail Linked'!$E$5:$E$105,"")</f>
      </c>
      <c r="M15" s="4">
        <f>IF(SUMIFS('Wage Detail Linked'!$O$5:$O$105,'Wage Detail Linked'!$B$5:$B$105,$A15,'Wage Detail Linked'!$C$5:$C$105,L$2,'Wage Detail Linked'!$E$5:$E$105,"")=0,IF(L15&gt;0,ROUND(L15*90,2),0),ROUND(SUMIFS('Wage Detail Linked'!$R$5:$R$105,'Wage Detail Linked'!$B$5:$B$105,$A15,'Wage Detail Linked'!$C$5:$C$105,L$2,'Wage Detail Linked'!$E$5:$E$105,"")*L15/SUMIFS('Wage Detail Linked'!$O$5:$O$105,'Wage Detail Linked'!$B$5:$B$105,$A15,'Wage Detail Linked'!$C$5:$C$105,L$2,'Wage Detail Linked'!$E$5:$E$105,""),2))</f>
      </c>
      <c r="N15" s="16">
        <f>SUMIFS('Wage Detail Linked'!$O$5:$O$105,'Wage Detail Linked'!$B$5:$B$105,$A15,'Wage Detail Linked'!$C$5:$C$105,N$2,'Wage Detail Linked'!$E$5:$E$105,"")</f>
      </c>
      <c r="O15" s="4">
        <f>IF(SUMIFS('Wage Detail Linked'!$O$5:$O$105,'Wage Detail Linked'!$B$5:$B$105,$A15,'Wage Detail Linked'!$C$5:$C$105,N$2,'Wage Detail Linked'!$E$5:$E$105,"")=0,IF(N15&gt;0,ROUND(N15*90,2),0),ROUND(SUMIFS('Wage Detail Linked'!$R$5:$R$105,'Wage Detail Linked'!$B$5:$B$105,$A15,'Wage Detail Linked'!$C$5:$C$105,N$2,'Wage Detail Linked'!$E$5:$E$105,"")*N15/SUMIFS('Wage Detail Linked'!$O$5:$O$105,'Wage Detail Linked'!$B$5:$B$105,$A15,'Wage Detail Linked'!$C$5:$C$105,N$2,'Wage Detail Linked'!$E$5:$E$105,""),2))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  <c r="AB15" s="36"/>
    </row>
    <row r="16">
      <c r="A16" s="37" t="inlineStr">
        <is>
          <t xml:space="preserve">Solomon Moyo</t>
        </is>
      </c>
      <c r="B16" s="16">
        <f>SUMIFS('Wage Detail Linked'!$O$5:$O$105,'Wage Detail Linked'!$B$5:$B$105,$A16,'Wage Detail Linked'!$C$5:$C$105,B$2,'Wage Detail Linked'!$E$5:$E$105,"")</f>
      </c>
      <c r="C16" s="4">
        <f>IF(SUMIFS('Wage Detail Linked'!$O$5:$O$105,'Wage Detail Linked'!$B$5:$B$105,$A16,'Wage Detail Linked'!$C$5:$C$105,B$2,'Wage Detail Linked'!$E$5:$E$105,"")=0,IF(B16&gt;0,ROUND(B16*90,2),0),ROUND(SUMIFS('Wage Detail Linked'!$R$5:$R$105,'Wage Detail Linked'!$B$5:$B$105,$A16,'Wage Detail Linked'!$C$5:$C$105,B$2,'Wage Detail Linked'!$E$5:$E$105,"")*B16/SUMIFS('Wage Detail Linked'!$O$5:$O$105,'Wage Detail Linked'!$B$5:$B$105,$A16,'Wage Detail Linked'!$C$5:$C$105,B$2,'Wage Detail Linked'!$E$5:$E$105,""),2))</f>
      </c>
      <c r="D16" s="16">
        <f>SUMIFS('Wage Detail Linked'!$O$5:$O$105,'Wage Detail Linked'!$B$5:$B$105,$A16,'Wage Detail Linked'!$C$5:$C$105,D$2,'Wage Detail Linked'!$E$5:$E$105,"")</f>
      </c>
      <c r="E16" s="4">
        <f>IF(SUMIFS('Wage Detail Linked'!$O$5:$O$105,'Wage Detail Linked'!$B$5:$B$105,$A16,'Wage Detail Linked'!$C$5:$C$105,D$2,'Wage Detail Linked'!$E$5:$E$105,"")=0,IF(D16&gt;0,ROUND(D16*90,2),0),ROUND(SUMIFS('Wage Detail Linked'!$R$5:$R$105,'Wage Detail Linked'!$B$5:$B$105,$A16,'Wage Detail Linked'!$C$5:$C$105,D$2,'Wage Detail Linked'!$E$5:$E$105,"")*D16/SUMIFS('Wage Detail Linked'!$O$5:$O$105,'Wage Detail Linked'!$B$5:$B$105,$A16,'Wage Detail Linked'!$C$5:$C$105,D$2,'Wage Detail Linked'!$E$5:$E$105,""),2))</f>
      </c>
      <c r="F16" s="16">
        <f>SUMIFS('Wage Detail Linked'!$O$5:$O$105,'Wage Detail Linked'!$B$5:$B$105,$A16,'Wage Detail Linked'!$C$5:$C$105,F$2,'Wage Detail Linked'!$E$5:$E$105,"")</f>
      </c>
      <c r="G16" s="4">
        <f>IF(SUMIFS('Wage Detail Linked'!$O$5:$O$105,'Wage Detail Linked'!$B$5:$B$105,$A16,'Wage Detail Linked'!$C$5:$C$105,F$2,'Wage Detail Linked'!$E$5:$E$105,"")=0,IF(F16&gt;0,ROUND(F16*90,2),0),ROUND(SUMIFS('Wage Detail Linked'!$R$5:$R$105,'Wage Detail Linked'!$B$5:$B$105,$A16,'Wage Detail Linked'!$C$5:$C$105,F$2,'Wage Detail Linked'!$E$5:$E$105,"")*F16/SUMIFS('Wage Detail Linked'!$O$5:$O$105,'Wage Detail Linked'!$B$5:$B$105,$A16,'Wage Detail Linked'!$C$5:$C$105,F$2,'Wage Detail Linked'!$E$5:$E$105,""),2))</f>
      </c>
      <c r="H16" s="16">
        <f>SUMIFS('Wage Detail Linked'!$O$5:$O$105,'Wage Detail Linked'!$B$5:$B$105,$A16,'Wage Detail Linked'!$C$5:$C$105,H$2,'Wage Detail Linked'!$E$5:$E$105,"")</f>
      </c>
      <c r="I16" s="4">
        <f>IF(SUMIFS('Wage Detail Linked'!$O$5:$O$105,'Wage Detail Linked'!$B$5:$B$105,$A16,'Wage Detail Linked'!$C$5:$C$105,H$2,'Wage Detail Linked'!$E$5:$E$105,"")=0,IF(H16&gt;0,ROUND(H16*90,2),0),ROUND(SUMIFS('Wage Detail Linked'!$R$5:$R$105,'Wage Detail Linked'!$B$5:$B$105,$A16,'Wage Detail Linked'!$C$5:$C$105,H$2,'Wage Detail Linked'!$E$5:$E$105,"")*H16/SUMIFS('Wage Detail Linked'!$O$5:$O$105,'Wage Detail Linked'!$B$5:$B$105,$A16,'Wage Detail Linked'!$C$5:$C$105,H$2,'Wage Detail Linked'!$E$5:$E$105,""),2))</f>
      </c>
      <c r="J16" s="16">
        <f>SUMIFS('Wage Detail Linked'!$O$5:$O$105,'Wage Detail Linked'!$B$5:$B$105,$A16,'Wage Detail Linked'!$C$5:$C$105,J$2,'Wage Detail Linked'!$E$5:$E$105,"")</f>
      </c>
      <c r="K16" s="4">
        <f>IF(SUMIFS('Wage Detail Linked'!$O$5:$O$105,'Wage Detail Linked'!$B$5:$B$105,$A16,'Wage Detail Linked'!$C$5:$C$105,J$2,'Wage Detail Linked'!$E$5:$E$105,"")=0,IF(J16&gt;0,ROUND(J16*90,2),0),ROUND(SUMIFS('Wage Detail Linked'!$R$5:$R$105,'Wage Detail Linked'!$B$5:$B$105,$A16,'Wage Detail Linked'!$C$5:$C$105,J$2,'Wage Detail Linked'!$E$5:$E$105,"")*J16/SUMIFS('Wage Detail Linked'!$O$5:$O$105,'Wage Detail Linked'!$B$5:$B$105,$A16,'Wage Detail Linked'!$C$5:$C$105,J$2,'Wage Detail Linked'!$E$5:$E$105,""),2))</f>
      </c>
      <c r="L16" s="16">
        <f>SUMIFS('Wage Detail Linked'!$O$5:$O$105,'Wage Detail Linked'!$B$5:$B$105,$A16,'Wage Detail Linked'!$C$5:$C$105,L$2,'Wage Detail Linked'!$E$5:$E$105,"")</f>
      </c>
      <c r="M16" s="4">
        <f>IF(SUMIFS('Wage Detail Linked'!$O$5:$O$105,'Wage Detail Linked'!$B$5:$B$105,$A16,'Wage Detail Linked'!$C$5:$C$105,L$2,'Wage Detail Linked'!$E$5:$E$105,"")=0,IF(L16&gt;0,ROUND(L16*90,2),0),ROUND(SUMIFS('Wage Detail Linked'!$R$5:$R$105,'Wage Detail Linked'!$B$5:$B$105,$A16,'Wage Detail Linked'!$C$5:$C$105,L$2,'Wage Detail Linked'!$E$5:$E$105,"")*L16/SUMIFS('Wage Detail Linked'!$O$5:$O$105,'Wage Detail Linked'!$B$5:$B$105,$A16,'Wage Detail Linked'!$C$5:$C$105,L$2,'Wage Detail Linked'!$E$5:$E$105,""),2))</f>
      </c>
      <c r="N16" s="16">
        <f>SUMIFS('Wage Detail Linked'!$O$5:$O$105,'Wage Detail Linked'!$B$5:$B$105,$A16,'Wage Detail Linked'!$C$5:$C$105,N$2,'Wage Detail Linked'!$E$5:$E$105,"")</f>
      </c>
      <c r="O16" s="4">
        <f>IF(SUMIFS('Wage Detail Linked'!$O$5:$O$105,'Wage Detail Linked'!$B$5:$B$105,$A16,'Wage Detail Linked'!$C$5:$C$105,N$2,'Wage Detail Linked'!$E$5:$E$105,"")=0,IF(N16&gt;0,ROUND(N16*90,2),0),ROUND(SUMIFS('Wage Detail Linked'!$R$5:$R$105,'Wage Detail Linked'!$B$5:$B$105,$A16,'Wage Detail Linked'!$C$5:$C$105,N$2,'Wage Detail Linked'!$E$5:$E$105,"")*N16/SUMIFS('Wage Detail Linked'!$O$5:$O$105,'Wage Detail Linked'!$B$5:$B$105,$A16,'Wage Detail Linked'!$C$5:$C$105,N$2,'Wage Detail Linked'!$E$5:$E$105,""),2))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  <c r="AB16" s="36"/>
    </row>
    <row r="17">
      <c r="A17" s="37" t="inlineStr">
        <is>
          <t xml:space="preserve">Takavaudza Chokuda</t>
        </is>
      </c>
      <c r="B17" s="16">
        <f>SUMIFS('Wage Detail Linked'!$O$5:$O$105,'Wage Detail Linked'!$B$5:$B$105,$A17,'Wage Detail Linked'!$C$5:$C$105,B$2,'Wage Detail Linked'!$E$5:$E$105,"")</f>
      </c>
      <c r="C17" s="4">
        <f>IF(SUMIFS('Wage Detail Linked'!$O$5:$O$105,'Wage Detail Linked'!$B$5:$B$105,$A17,'Wage Detail Linked'!$C$5:$C$105,B$2,'Wage Detail Linked'!$E$5:$E$105,"")=0,IF(B17&gt;0,ROUND(B17*90,2),0),ROUND(SUMIFS('Wage Detail Linked'!$R$5:$R$105,'Wage Detail Linked'!$B$5:$B$105,$A17,'Wage Detail Linked'!$C$5:$C$105,B$2,'Wage Detail Linked'!$E$5:$E$105,"")*B17/SUMIFS('Wage Detail Linked'!$O$5:$O$105,'Wage Detail Linked'!$B$5:$B$105,$A17,'Wage Detail Linked'!$C$5:$C$105,B$2,'Wage Detail Linked'!$E$5:$E$105,""),2))</f>
      </c>
      <c r="D17" s="16">
        <f>SUMIFS('Wage Detail Linked'!$O$5:$O$105,'Wage Detail Linked'!$B$5:$B$105,$A17,'Wage Detail Linked'!$C$5:$C$105,D$2,'Wage Detail Linked'!$E$5:$E$105,"")</f>
      </c>
      <c r="E17" s="4">
        <f>IF(SUMIFS('Wage Detail Linked'!$O$5:$O$105,'Wage Detail Linked'!$B$5:$B$105,$A17,'Wage Detail Linked'!$C$5:$C$105,D$2,'Wage Detail Linked'!$E$5:$E$105,"")=0,IF(D17&gt;0,ROUND(D17*90,2),0),ROUND(SUMIFS('Wage Detail Linked'!$R$5:$R$105,'Wage Detail Linked'!$B$5:$B$105,$A17,'Wage Detail Linked'!$C$5:$C$105,D$2,'Wage Detail Linked'!$E$5:$E$105,"")*D17/SUMIFS('Wage Detail Linked'!$O$5:$O$105,'Wage Detail Linked'!$B$5:$B$105,$A17,'Wage Detail Linked'!$C$5:$C$105,D$2,'Wage Detail Linked'!$E$5:$E$105,""),2))</f>
      </c>
      <c r="F17" s="16">
        <f>SUMIFS('Wage Detail Linked'!$O$5:$O$105,'Wage Detail Linked'!$B$5:$B$105,$A17,'Wage Detail Linked'!$C$5:$C$105,F$2,'Wage Detail Linked'!$E$5:$E$105,"")</f>
      </c>
      <c r="G17" s="4">
        <f>IF(SUMIFS('Wage Detail Linked'!$O$5:$O$105,'Wage Detail Linked'!$B$5:$B$105,$A17,'Wage Detail Linked'!$C$5:$C$105,F$2,'Wage Detail Linked'!$E$5:$E$105,"")=0,IF(F17&gt;0,ROUND(F17*90,2),0),ROUND(SUMIFS('Wage Detail Linked'!$R$5:$R$105,'Wage Detail Linked'!$B$5:$B$105,$A17,'Wage Detail Linked'!$C$5:$C$105,F$2,'Wage Detail Linked'!$E$5:$E$105,"")*F17/SUMIFS('Wage Detail Linked'!$O$5:$O$105,'Wage Detail Linked'!$B$5:$B$105,$A17,'Wage Detail Linked'!$C$5:$C$105,F$2,'Wage Detail Linked'!$E$5:$E$105,""),2))</f>
      </c>
      <c r="H17" s="16">
        <f>SUMIFS('Wage Detail Linked'!$O$5:$O$105,'Wage Detail Linked'!$B$5:$B$105,$A17,'Wage Detail Linked'!$C$5:$C$105,H$2,'Wage Detail Linked'!$E$5:$E$105,"")</f>
      </c>
      <c r="I17" s="4">
        <f>IF(SUMIFS('Wage Detail Linked'!$O$5:$O$105,'Wage Detail Linked'!$B$5:$B$105,$A17,'Wage Detail Linked'!$C$5:$C$105,H$2,'Wage Detail Linked'!$E$5:$E$105,"")=0,IF(H17&gt;0,ROUND(H17*90,2),0),ROUND(SUMIFS('Wage Detail Linked'!$R$5:$R$105,'Wage Detail Linked'!$B$5:$B$105,$A17,'Wage Detail Linked'!$C$5:$C$105,H$2,'Wage Detail Linked'!$E$5:$E$105,"")*H17/SUMIFS('Wage Detail Linked'!$O$5:$O$105,'Wage Detail Linked'!$B$5:$B$105,$A17,'Wage Detail Linked'!$C$5:$C$105,H$2,'Wage Detail Linked'!$E$5:$E$105,""),2))</f>
      </c>
      <c r="J17" s="16">
        <f>SUMIFS('Wage Detail Linked'!$O$5:$O$105,'Wage Detail Linked'!$B$5:$B$105,$A17,'Wage Detail Linked'!$C$5:$C$105,J$2,'Wage Detail Linked'!$E$5:$E$105,"")</f>
      </c>
      <c r="K17" s="4">
        <f>IF(SUMIFS('Wage Detail Linked'!$O$5:$O$105,'Wage Detail Linked'!$B$5:$B$105,$A17,'Wage Detail Linked'!$C$5:$C$105,J$2,'Wage Detail Linked'!$E$5:$E$105,"")=0,IF(J17&gt;0,ROUND(J17*90,2),0),ROUND(SUMIFS('Wage Detail Linked'!$R$5:$R$105,'Wage Detail Linked'!$B$5:$B$105,$A17,'Wage Detail Linked'!$C$5:$C$105,J$2,'Wage Detail Linked'!$E$5:$E$105,"")*J17/SUMIFS('Wage Detail Linked'!$O$5:$O$105,'Wage Detail Linked'!$B$5:$B$105,$A17,'Wage Detail Linked'!$C$5:$C$105,J$2,'Wage Detail Linked'!$E$5:$E$105,""),2))</f>
      </c>
      <c r="L17" s="16">
        <f>SUMIFS('Wage Detail Linked'!$O$5:$O$105,'Wage Detail Linked'!$B$5:$B$105,$A17,'Wage Detail Linked'!$C$5:$C$105,L$2,'Wage Detail Linked'!$E$5:$E$105,"")</f>
      </c>
      <c r="M17" s="4">
        <f>IF(SUMIFS('Wage Detail Linked'!$O$5:$O$105,'Wage Detail Linked'!$B$5:$B$105,$A17,'Wage Detail Linked'!$C$5:$C$105,L$2,'Wage Detail Linked'!$E$5:$E$105,"")=0,IF(L17&gt;0,ROUND(L17*90,2),0),ROUND(SUMIFS('Wage Detail Linked'!$R$5:$R$105,'Wage Detail Linked'!$B$5:$B$105,$A17,'Wage Detail Linked'!$C$5:$C$105,L$2,'Wage Detail Linked'!$E$5:$E$105,"")*L17/SUMIFS('Wage Detail Linked'!$O$5:$O$105,'Wage Detail Linked'!$B$5:$B$105,$A17,'Wage Detail Linked'!$C$5:$C$105,L$2,'Wage Detail Linked'!$E$5:$E$105,""),2))</f>
      </c>
      <c r="N17" s="16">
        <f>SUMIFS('Wage Detail Linked'!$O$5:$O$105,'Wage Detail Linked'!$B$5:$B$105,$A17,'Wage Detail Linked'!$C$5:$C$105,N$2,'Wage Detail Linked'!$E$5:$E$105,"")</f>
      </c>
      <c r="O17" s="4">
        <f>IF(SUMIFS('Wage Detail Linked'!$O$5:$O$105,'Wage Detail Linked'!$B$5:$B$105,$A17,'Wage Detail Linked'!$C$5:$C$105,N$2,'Wage Detail Linked'!$E$5:$E$105,"")=0,IF(N17&gt;0,ROUND(N17*90,2),0),ROUND(SUMIFS('Wage Detail Linked'!$R$5:$R$105,'Wage Detail Linked'!$B$5:$B$105,$A17,'Wage Detail Linked'!$C$5:$C$105,N$2,'Wage Detail Linked'!$E$5:$E$105,"")*N17/SUMIFS('Wage Detail Linked'!$O$5:$O$105,'Wage Detail Linked'!$B$5:$B$105,$A17,'Wage Detail Linked'!$C$5:$C$105,N$2,'Wage Detail Linked'!$E$5:$E$105,""),2))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  <c r="AB17" s="36"/>
    </row>
    <row r="18">
      <c r="A18" s="37" t="inlineStr">
        <is>
          <t xml:space="preserve">Thandanani Nkala</t>
        </is>
      </c>
      <c r="B18" s="16">
        <f>SUMIFS('Wage Detail Linked'!$O$5:$O$105,'Wage Detail Linked'!$B$5:$B$105,$A18,'Wage Detail Linked'!$C$5:$C$105,B$2,'Wage Detail Linked'!$E$5:$E$105,"")</f>
      </c>
      <c r="C18" s="4">
        <f>IF(SUMIFS('Wage Detail Linked'!$O$5:$O$105,'Wage Detail Linked'!$B$5:$B$105,$A18,'Wage Detail Linked'!$C$5:$C$105,B$2,'Wage Detail Linked'!$E$5:$E$105,"")=0,IF(B18&gt;0,ROUND(B18*90,2),0),ROUND(SUMIFS('Wage Detail Linked'!$R$5:$R$105,'Wage Detail Linked'!$B$5:$B$105,$A18,'Wage Detail Linked'!$C$5:$C$105,B$2,'Wage Detail Linked'!$E$5:$E$105,"")*B18/SUMIFS('Wage Detail Linked'!$O$5:$O$105,'Wage Detail Linked'!$B$5:$B$105,$A18,'Wage Detail Linked'!$C$5:$C$105,B$2,'Wage Detail Linked'!$E$5:$E$105,""),2))</f>
      </c>
      <c r="D18" s="16">
        <f>SUMIFS('Wage Detail Linked'!$O$5:$O$105,'Wage Detail Linked'!$B$5:$B$105,$A18,'Wage Detail Linked'!$C$5:$C$105,D$2,'Wage Detail Linked'!$E$5:$E$105,"")</f>
      </c>
      <c r="E18" s="4">
        <f>IF(SUMIFS('Wage Detail Linked'!$O$5:$O$105,'Wage Detail Linked'!$B$5:$B$105,$A18,'Wage Detail Linked'!$C$5:$C$105,D$2,'Wage Detail Linked'!$E$5:$E$105,"")=0,IF(D18&gt;0,ROUND(D18*90,2),0),ROUND(SUMIFS('Wage Detail Linked'!$R$5:$R$105,'Wage Detail Linked'!$B$5:$B$105,$A18,'Wage Detail Linked'!$C$5:$C$105,D$2,'Wage Detail Linked'!$E$5:$E$105,"")*D18/SUMIFS('Wage Detail Linked'!$O$5:$O$105,'Wage Detail Linked'!$B$5:$B$105,$A18,'Wage Detail Linked'!$C$5:$C$105,D$2,'Wage Detail Linked'!$E$5:$E$105,""),2))</f>
      </c>
      <c r="F18" s="16">
        <f>SUMIFS('Wage Detail Linked'!$O$5:$O$105,'Wage Detail Linked'!$B$5:$B$105,$A18,'Wage Detail Linked'!$C$5:$C$105,F$2,'Wage Detail Linked'!$E$5:$E$105,"")</f>
      </c>
      <c r="G18" s="4">
        <f>IF(SUMIFS('Wage Detail Linked'!$O$5:$O$105,'Wage Detail Linked'!$B$5:$B$105,$A18,'Wage Detail Linked'!$C$5:$C$105,F$2,'Wage Detail Linked'!$E$5:$E$105,"")=0,IF(F18&gt;0,ROUND(F18*90,2),0),ROUND(SUMIFS('Wage Detail Linked'!$R$5:$R$105,'Wage Detail Linked'!$B$5:$B$105,$A18,'Wage Detail Linked'!$C$5:$C$105,F$2,'Wage Detail Linked'!$E$5:$E$105,"")*F18/SUMIFS('Wage Detail Linked'!$O$5:$O$105,'Wage Detail Linked'!$B$5:$B$105,$A18,'Wage Detail Linked'!$C$5:$C$105,F$2,'Wage Detail Linked'!$E$5:$E$105,""),2))</f>
      </c>
      <c r="H18" s="16">
        <f>SUMIFS('Wage Detail Linked'!$O$5:$O$105,'Wage Detail Linked'!$B$5:$B$105,$A18,'Wage Detail Linked'!$C$5:$C$105,H$2,'Wage Detail Linked'!$E$5:$E$105,"")</f>
      </c>
      <c r="I18" s="4">
        <f>IF(SUMIFS('Wage Detail Linked'!$O$5:$O$105,'Wage Detail Linked'!$B$5:$B$105,$A18,'Wage Detail Linked'!$C$5:$C$105,H$2,'Wage Detail Linked'!$E$5:$E$105,"")=0,IF(H18&gt;0,ROUND(H18*90,2),0),ROUND(SUMIFS('Wage Detail Linked'!$R$5:$R$105,'Wage Detail Linked'!$B$5:$B$105,$A18,'Wage Detail Linked'!$C$5:$C$105,H$2,'Wage Detail Linked'!$E$5:$E$105,"")*H18/SUMIFS('Wage Detail Linked'!$O$5:$O$105,'Wage Detail Linked'!$B$5:$B$105,$A18,'Wage Detail Linked'!$C$5:$C$105,H$2,'Wage Detail Linked'!$E$5:$E$105,""),2))</f>
      </c>
      <c r="J18" s="16">
        <f>SUMIFS('Wage Detail Linked'!$O$5:$O$105,'Wage Detail Linked'!$B$5:$B$105,$A18,'Wage Detail Linked'!$C$5:$C$105,J$2,'Wage Detail Linked'!$E$5:$E$105,"")</f>
      </c>
      <c r="K18" s="4">
        <f>IF(SUMIFS('Wage Detail Linked'!$O$5:$O$105,'Wage Detail Linked'!$B$5:$B$105,$A18,'Wage Detail Linked'!$C$5:$C$105,J$2,'Wage Detail Linked'!$E$5:$E$105,"")=0,IF(J18&gt;0,ROUND(J18*90,2),0),ROUND(SUMIFS('Wage Detail Linked'!$R$5:$R$105,'Wage Detail Linked'!$B$5:$B$105,$A18,'Wage Detail Linked'!$C$5:$C$105,J$2,'Wage Detail Linked'!$E$5:$E$105,"")*J18/SUMIFS('Wage Detail Linked'!$O$5:$O$105,'Wage Detail Linked'!$B$5:$B$105,$A18,'Wage Detail Linked'!$C$5:$C$105,J$2,'Wage Detail Linked'!$E$5:$E$105,""),2))</f>
      </c>
      <c r="L18" s="16">
        <f>SUMIFS('Wage Detail Linked'!$O$5:$O$105,'Wage Detail Linked'!$B$5:$B$105,$A18,'Wage Detail Linked'!$C$5:$C$105,L$2,'Wage Detail Linked'!$E$5:$E$105,"")</f>
      </c>
      <c r="M18" s="4">
        <f>IF(SUMIFS('Wage Detail Linked'!$O$5:$O$105,'Wage Detail Linked'!$B$5:$B$105,$A18,'Wage Detail Linked'!$C$5:$C$105,L$2,'Wage Detail Linked'!$E$5:$E$105,"")=0,IF(L18&gt;0,ROUND(L18*90,2),0),ROUND(SUMIFS('Wage Detail Linked'!$R$5:$R$105,'Wage Detail Linked'!$B$5:$B$105,$A18,'Wage Detail Linked'!$C$5:$C$105,L$2,'Wage Detail Linked'!$E$5:$E$105,"")*L18/SUMIFS('Wage Detail Linked'!$O$5:$O$105,'Wage Detail Linked'!$B$5:$B$105,$A18,'Wage Detail Linked'!$C$5:$C$105,L$2,'Wage Detail Linked'!$E$5:$E$105,""),2))</f>
      </c>
      <c r="N18" s="16">
        <f>SUMIFS('Wage Detail Linked'!$O$5:$O$105,'Wage Detail Linked'!$B$5:$B$105,$A18,'Wage Detail Linked'!$C$5:$C$105,N$2,'Wage Detail Linked'!$E$5:$E$105,"")</f>
      </c>
      <c r="O18" s="4">
        <f>IF(SUMIFS('Wage Detail Linked'!$O$5:$O$105,'Wage Detail Linked'!$B$5:$B$105,$A18,'Wage Detail Linked'!$C$5:$C$105,N$2,'Wage Detail Linked'!$E$5:$E$105,"")=0,IF(N18&gt;0,ROUND(N18*90,2),0),ROUND(SUMIFS('Wage Detail Linked'!$R$5:$R$105,'Wage Detail Linked'!$B$5:$B$105,$A18,'Wage Detail Linked'!$C$5:$C$105,N$2,'Wage Detail Linked'!$E$5:$E$105,"")*N18/SUMIFS('Wage Detail Linked'!$O$5:$O$105,'Wage Detail Linked'!$B$5:$B$105,$A18,'Wage Detail Linked'!$C$5:$C$105,N$2,'Wage Detail Linked'!$E$5:$E$105,""),2))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  <c r="AB18" s="36"/>
    </row>
    <row r="19">
      <c r="A19" s="37" t="inlineStr">
        <is>
          <t xml:space="preserve">Thina Dyani</t>
        </is>
      </c>
      <c r="B19" s="16">
        <f>SUMIFS('Wage Detail Linked'!$O$5:$O$105,'Wage Detail Linked'!$B$5:$B$105,$A19,'Wage Detail Linked'!$C$5:$C$105,B$2,'Wage Detail Linked'!$E$5:$E$105,"")</f>
      </c>
      <c r="C19" s="4">
        <f>IF(SUMIFS('Wage Detail Linked'!$O$5:$O$105,'Wage Detail Linked'!$B$5:$B$105,$A19,'Wage Detail Linked'!$C$5:$C$105,B$2,'Wage Detail Linked'!$E$5:$E$105,"")=0,IF(B19&gt;0,ROUND(B19*90,2),0),ROUND(SUMIFS('Wage Detail Linked'!$R$5:$R$105,'Wage Detail Linked'!$B$5:$B$105,$A19,'Wage Detail Linked'!$C$5:$C$105,B$2,'Wage Detail Linked'!$E$5:$E$105,"")*B19/SUMIFS('Wage Detail Linked'!$O$5:$O$105,'Wage Detail Linked'!$B$5:$B$105,$A19,'Wage Detail Linked'!$C$5:$C$105,B$2,'Wage Detail Linked'!$E$5:$E$105,""),2))</f>
      </c>
      <c r="D19" s="16">
        <f>SUMIFS('Wage Detail Linked'!$O$5:$O$105,'Wage Detail Linked'!$B$5:$B$105,$A19,'Wage Detail Linked'!$C$5:$C$105,D$2,'Wage Detail Linked'!$E$5:$E$105,"")</f>
      </c>
      <c r="E19" s="4">
        <f>IF(SUMIFS('Wage Detail Linked'!$O$5:$O$105,'Wage Detail Linked'!$B$5:$B$105,$A19,'Wage Detail Linked'!$C$5:$C$105,D$2,'Wage Detail Linked'!$E$5:$E$105,"")=0,IF(D19&gt;0,ROUND(D19*90,2),0),ROUND(SUMIFS('Wage Detail Linked'!$R$5:$R$105,'Wage Detail Linked'!$B$5:$B$105,$A19,'Wage Detail Linked'!$C$5:$C$105,D$2,'Wage Detail Linked'!$E$5:$E$105,"")*D19/SUMIFS('Wage Detail Linked'!$O$5:$O$105,'Wage Detail Linked'!$B$5:$B$105,$A19,'Wage Detail Linked'!$C$5:$C$105,D$2,'Wage Detail Linked'!$E$5:$E$105,""),2))</f>
      </c>
      <c r="F19" s="16">
        <f>SUMIFS('Wage Detail Linked'!$O$5:$O$105,'Wage Detail Linked'!$B$5:$B$105,$A19,'Wage Detail Linked'!$C$5:$C$105,F$2,'Wage Detail Linked'!$E$5:$E$105,"")</f>
      </c>
      <c r="G19" s="4">
        <f>IF(SUMIFS('Wage Detail Linked'!$O$5:$O$105,'Wage Detail Linked'!$B$5:$B$105,$A19,'Wage Detail Linked'!$C$5:$C$105,F$2,'Wage Detail Linked'!$E$5:$E$105,"")=0,IF(F19&gt;0,ROUND(F19*90,2),0),ROUND(SUMIFS('Wage Detail Linked'!$R$5:$R$105,'Wage Detail Linked'!$B$5:$B$105,$A19,'Wage Detail Linked'!$C$5:$C$105,F$2,'Wage Detail Linked'!$E$5:$E$105,"")*F19/SUMIFS('Wage Detail Linked'!$O$5:$O$105,'Wage Detail Linked'!$B$5:$B$105,$A19,'Wage Detail Linked'!$C$5:$C$105,F$2,'Wage Detail Linked'!$E$5:$E$105,""),2))</f>
      </c>
      <c r="H19" s="16">
        <f>SUMIFS('Wage Detail Linked'!$O$5:$O$105,'Wage Detail Linked'!$B$5:$B$105,$A19,'Wage Detail Linked'!$C$5:$C$105,H$2,'Wage Detail Linked'!$E$5:$E$105,"")</f>
      </c>
      <c r="I19" s="4">
        <f>IF(SUMIFS('Wage Detail Linked'!$O$5:$O$105,'Wage Detail Linked'!$B$5:$B$105,$A19,'Wage Detail Linked'!$C$5:$C$105,H$2,'Wage Detail Linked'!$E$5:$E$105,"")=0,IF(H19&gt;0,ROUND(H19*90,2),0),ROUND(SUMIFS('Wage Detail Linked'!$R$5:$R$105,'Wage Detail Linked'!$B$5:$B$105,$A19,'Wage Detail Linked'!$C$5:$C$105,H$2,'Wage Detail Linked'!$E$5:$E$105,"")*H19/SUMIFS('Wage Detail Linked'!$O$5:$O$105,'Wage Detail Linked'!$B$5:$B$105,$A19,'Wage Detail Linked'!$C$5:$C$105,H$2,'Wage Detail Linked'!$E$5:$E$105,""),2))</f>
      </c>
      <c r="J19" s="16">
        <f>SUMIFS('Wage Detail Linked'!$O$5:$O$105,'Wage Detail Linked'!$B$5:$B$105,$A19,'Wage Detail Linked'!$C$5:$C$105,J$2,'Wage Detail Linked'!$E$5:$E$105,"")</f>
      </c>
      <c r="K19" s="4">
        <f>IF(SUMIFS('Wage Detail Linked'!$O$5:$O$105,'Wage Detail Linked'!$B$5:$B$105,$A19,'Wage Detail Linked'!$C$5:$C$105,J$2,'Wage Detail Linked'!$E$5:$E$105,"")=0,IF(J19&gt;0,ROUND(J19*90,2),0),ROUND(SUMIFS('Wage Detail Linked'!$R$5:$R$105,'Wage Detail Linked'!$B$5:$B$105,$A19,'Wage Detail Linked'!$C$5:$C$105,J$2,'Wage Detail Linked'!$E$5:$E$105,"")*J19/SUMIFS('Wage Detail Linked'!$O$5:$O$105,'Wage Detail Linked'!$B$5:$B$105,$A19,'Wage Detail Linked'!$C$5:$C$105,J$2,'Wage Detail Linked'!$E$5:$E$105,""),2))</f>
      </c>
      <c r="L19" s="16">
        <f>SUMIFS('Wage Detail Linked'!$O$5:$O$105,'Wage Detail Linked'!$B$5:$B$105,$A19,'Wage Detail Linked'!$C$5:$C$105,L$2,'Wage Detail Linked'!$E$5:$E$105,"")</f>
      </c>
      <c r="M19" s="4">
        <f>IF(SUMIFS('Wage Detail Linked'!$O$5:$O$105,'Wage Detail Linked'!$B$5:$B$105,$A19,'Wage Detail Linked'!$C$5:$C$105,L$2,'Wage Detail Linked'!$E$5:$E$105,"")=0,IF(L19&gt;0,ROUND(L19*90,2),0),ROUND(SUMIFS('Wage Detail Linked'!$R$5:$R$105,'Wage Detail Linked'!$B$5:$B$105,$A19,'Wage Detail Linked'!$C$5:$C$105,L$2,'Wage Detail Linked'!$E$5:$E$105,"")*L19/SUMIFS('Wage Detail Linked'!$O$5:$O$105,'Wage Detail Linked'!$B$5:$B$105,$A19,'Wage Detail Linked'!$C$5:$C$105,L$2,'Wage Detail Linked'!$E$5:$E$105,""),2))</f>
      </c>
      <c r="N19" s="16">
        <f>SUMIFS('Wage Detail Linked'!$O$5:$O$105,'Wage Detail Linked'!$B$5:$B$105,$A19,'Wage Detail Linked'!$C$5:$C$105,N$2,'Wage Detail Linked'!$E$5:$E$105,"")</f>
      </c>
      <c r="O19" s="4">
        <f>IF(SUMIFS('Wage Detail Linked'!$O$5:$O$105,'Wage Detail Linked'!$B$5:$B$105,$A19,'Wage Detail Linked'!$C$5:$C$105,N$2,'Wage Detail Linked'!$E$5:$E$105,"")=0,IF(N19&gt;0,ROUND(N19*90,2),0),ROUND(SUMIFS('Wage Detail Linked'!$R$5:$R$105,'Wage Detail Linked'!$B$5:$B$105,$A19,'Wage Detail Linked'!$C$5:$C$105,N$2,'Wage Detail Linked'!$E$5:$E$105,"")*N19/SUMIFS('Wage Detail Linked'!$O$5:$O$105,'Wage Detail Linked'!$B$5:$B$105,$A19,'Wage Detail Linked'!$C$5:$C$105,N$2,'Wage Detail Linked'!$E$5:$E$105,""),2))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  <c r="AB19" s="36"/>
    </row>
    <row r="20">
      <c r="A20" s="37" t="inlineStr">
        <is>
          <t xml:space="preserve">Tsotlego Petrus Malakoane</t>
        </is>
      </c>
      <c r="B20" s="16">
        <f>SUMIFS('Wage Detail Linked'!$O$5:$O$105,'Wage Detail Linked'!$B$5:$B$105,$A20,'Wage Detail Linked'!$C$5:$C$105,B$2,'Wage Detail Linked'!$E$5:$E$105,"")</f>
      </c>
      <c r="C20" s="4">
        <f>IF(SUMIFS('Wage Detail Linked'!$O$5:$O$105,'Wage Detail Linked'!$B$5:$B$105,$A20,'Wage Detail Linked'!$C$5:$C$105,B$2,'Wage Detail Linked'!$E$5:$E$105,"")=0,IF(B20&gt;0,ROUND(B20*90,2),0),ROUND(SUMIFS('Wage Detail Linked'!$R$5:$R$105,'Wage Detail Linked'!$B$5:$B$105,$A20,'Wage Detail Linked'!$C$5:$C$105,B$2,'Wage Detail Linked'!$E$5:$E$105,"")*B20/SUMIFS('Wage Detail Linked'!$O$5:$O$105,'Wage Detail Linked'!$B$5:$B$105,$A20,'Wage Detail Linked'!$C$5:$C$105,B$2,'Wage Detail Linked'!$E$5:$E$105,""),2))</f>
      </c>
      <c r="D20" s="16">
        <f>SUMIFS('Wage Detail Linked'!$O$5:$O$105,'Wage Detail Linked'!$B$5:$B$105,$A20,'Wage Detail Linked'!$C$5:$C$105,D$2,'Wage Detail Linked'!$E$5:$E$105,"")</f>
      </c>
      <c r="E20" s="4">
        <f>IF(SUMIFS('Wage Detail Linked'!$O$5:$O$105,'Wage Detail Linked'!$B$5:$B$105,$A20,'Wage Detail Linked'!$C$5:$C$105,D$2,'Wage Detail Linked'!$E$5:$E$105,"")=0,IF(D20&gt;0,ROUND(D20*90,2),0),ROUND(SUMIFS('Wage Detail Linked'!$R$5:$R$105,'Wage Detail Linked'!$B$5:$B$105,$A20,'Wage Detail Linked'!$C$5:$C$105,D$2,'Wage Detail Linked'!$E$5:$E$105,"")*D20/SUMIFS('Wage Detail Linked'!$O$5:$O$105,'Wage Detail Linked'!$B$5:$B$105,$A20,'Wage Detail Linked'!$C$5:$C$105,D$2,'Wage Detail Linked'!$E$5:$E$105,""),2))</f>
      </c>
      <c r="F20" s="16">
        <f>SUMIFS('Wage Detail Linked'!$O$5:$O$105,'Wage Detail Linked'!$B$5:$B$105,$A20,'Wage Detail Linked'!$C$5:$C$105,F$2,'Wage Detail Linked'!$E$5:$E$105,"")</f>
      </c>
      <c r="G20" s="4">
        <f>IF(SUMIFS('Wage Detail Linked'!$O$5:$O$105,'Wage Detail Linked'!$B$5:$B$105,$A20,'Wage Detail Linked'!$C$5:$C$105,F$2,'Wage Detail Linked'!$E$5:$E$105,"")=0,IF(F20&gt;0,ROUND(F20*90,2),0),ROUND(SUMIFS('Wage Detail Linked'!$R$5:$R$105,'Wage Detail Linked'!$B$5:$B$105,$A20,'Wage Detail Linked'!$C$5:$C$105,F$2,'Wage Detail Linked'!$E$5:$E$105,"")*F20/SUMIFS('Wage Detail Linked'!$O$5:$O$105,'Wage Detail Linked'!$B$5:$B$105,$A20,'Wage Detail Linked'!$C$5:$C$105,F$2,'Wage Detail Linked'!$E$5:$E$105,""),2))</f>
      </c>
      <c r="H20" s="16">
        <f>SUMIFS('Wage Detail Linked'!$O$5:$O$105,'Wage Detail Linked'!$B$5:$B$105,$A20,'Wage Detail Linked'!$C$5:$C$105,H$2,'Wage Detail Linked'!$E$5:$E$105,"")</f>
      </c>
      <c r="I20" s="4">
        <f>IF(SUMIFS('Wage Detail Linked'!$O$5:$O$105,'Wage Detail Linked'!$B$5:$B$105,$A20,'Wage Detail Linked'!$C$5:$C$105,H$2,'Wage Detail Linked'!$E$5:$E$105,"")=0,IF(H20&gt;0,ROUND(H20*90,2),0),ROUND(SUMIFS('Wage Detail Linked'!$R$5:$R$105,'Wage Detail Linked'!$B$5:$B$105,$A20,'Wage Detail Linked'!$C$5:$C$105,H$2,'Wage Detail Linked'!$E$5:$E$105,"")*H20/SUMIFS('Wage Detail Linked'!$O$5:$O$105,'Wage Detail Linked'!$B$5:$B$105,$A20,'Wage Detail Linked'!$C$5:$C$105,H$2,'Wage Detail Linked'!$E$5:$E$105,""),2))</f>
      </c>
      <c r="J20" s="16">
        <f>SUMIFS('Wage Detail Linked'!$O$5:$O$105,'Wage Detail Linked'!$B$5:$B$105,$A20,'Wage Detail Linked'!$C$5:$C$105,J$2,'Wage Detail Linked'!$E$5:$E$105,"")</f>
      </c>
      <c r="K20" s="4">
        <f>IF(SUMIFS('Wage Detail Linked'!$O$5:$O$105,'Wage Detail Linked'!$B$5:$B$105,$A20,'Wage Detail Linked'!$C$5:$C$105,J$2,'Wage Detail Linked'!$E$5:$E$105,"")=0,IF(J20&gt;0,ROUND(J20*90,2),0),ROUND(SUMIFS('Wage Detail Linked'!$R$5:$R$105,'Wage Detail Linked'!$B$5:$B$105,$A20,'Wage Detail Linked'!$C$5:$C$105,J$2,'Wage Detail Linked'!$E$5:$E$105,"")*J20/SUMIFS('Wage Detail Linked'!$O$5:$O$105,'Wage Detail Linked'!$B$5:$B$105,$A20,'Wage Detail Linked'!$C$5:$C$105,J$2,'Wage Detail Linked'!$E$5:$E$105,""),2))</f>
      </c>
      <c r="L20" s="16">
        <f>SUMIFS('Wage Detail Linked'!$O$5:$O$105,'Wage Detail Linked'!$B$5:$B$105,$A20,'Wage Detail Linked'!$C$5:$C$105,L$2,'Wage Detail Linked'!$E$5:$E$105,"")</f>
      </c>
      <c r="M20" s="4">
        <f>IF(SUMIFS('Wage Detail Linked'!$O$5:$O$105,'Wage Detail Linked'!$B$5:$B$105,$A20,'Wage Detail Linked'!$C$5:$C$105,L$2,'Wage Detail Linked'!$E$5:$E$105,"")=0,IF(L20&gt;0,ROUND(L20*90,2),0),ROUND(SUMIFS('Wage Detail Linked'!$R$5:$R$105,'Wage Detail Linked'!$B$5:$B$105,$A20,'Wage Detail Linked'!$C$5:$C$105,L$2,'Wage Detail Linked'!$E$5:$E$105,"")*L20/SUMIFS('Wage Detail Linked'!$O$5:$O$105,'Wage Detail Linked'!$B$5:$B$105,$A20,'Wage Detail Linked'!$C$5:$C$105,L$2,'Wage Detail Linked'!$E$5:$E$105,""),2))</f>
      </c>
      <c r="N20" s="16">
        <f>SUMIFS('Wage Detail Linked'!$O$5:$O$105,'Wage Detail Linked'!$B$5:$B$105,$A20,'Wage Detail Linked'!$C$5:$C$105,N$2,'Wage Detail Linked'!$E$5:$E$105,"")</f>
      </c>
      <c r="O20" s="4">
        <f>IF(SUMIFS('Wage Detail Linked'!$O$5:$O$105,'Wage Detail Linked'!$B$5:$B$105,$A20,'Wage Detail Linked'!$C$5:$C$105,N$2,'Wage Detail Linked'!$E$5:$E$105,"")=0,IF(N20&gt;0,ROUND(N20*90,2),0),ROUND(SUMIFS('Wage Detail Linked'!$R$5:$R$105,'Wage Detail Linked'!$B$5:$B$105,$A20,'Wage Detail Linked'!$C$5:$C$105,N$2,'Wage Detail Linked'!$E$5:$E$105,"")*N20/SUMIFS('Wage Detail Linked'!$O$5:$O$105,'Wage Detail Linked'!$B$5:$B$105,$A20,'Wage Detail Linked'!$C$5:$C$105,N$2,'Wage Detail Linked'!$E$5:$E$105,""),2))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  <c r="AB20" s="36"/>
    </row>
    <row r="21">
      <c r="A21" s="37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  <c r="AB21" s="35"/>
    </row>
  </sheetData>
  <mergeCells count="28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  <mergeCell ref="AB1:AB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10" customWidth="1"/>
    <col min="3" max="3" width="13" customWidth="1"/>
    <col min="4" max="4" width="13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6" customWidth="1"/>
    <col min="14" max="14" width="95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48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  <c r="N4" s="2" t="inlineStr">
        <is>
          <t xml:space="preserve">DEDUCTION NOTES — why we are deducting (for the auditor)</t>
        </is>
      </c>
    </row>
    <row r="5">
      <c r="A5" s="37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  <c r="N5" s="36"/>
    </row>
    <row r="6">
      <c r="A6" s="37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  <c r="N6" s="36"/>
    </row>
    <row r="7">
      <c r="A7" s="37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  <c r="N7" s="36"/>
    </row>
    <row r="8">
      <c r="A8" s="37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  <c r="N8" s="36"/>
    </row>
    <row r="9" ht="97" customHeight="1">
      <c r="A9" s="37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  <c r="N9" s="36" t="inlineStr">
        <is>
          <t xml:space="preserve">1. FIXED R1 000,00/week — Car Payment (vehicle: held from wages weekly, paid over to the worker on the 25th of each month), every week since 2026-08-01, ongoing until the owner ends it. Not a loan.
2. LOAN #1 R2 000,00 given 2026-08-08 (car repair): R250,00 deducted this week; R250,00 still owing → R250,00/week from next payroll.
3. LOAN #7 R500,00 given 2026-09-22 (cash advance requested by WhatsApp): R250,00 deducted this week; R250,00 still owing → R250,00/week from next payroll.</t>
        </is>
      </c>
    </row>
    <row r="10">
      <c r="A10" s="37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  <c r="N10" s="36"/>
    </row>
    <row r="11" ht="151" customHeight="1">
      <c r="A11" s="37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  <c r="N11" s="36" t="inlineStr">
        <is>
          <t xml:space="preserve">1. FIXED R260,00/week — Eggs, every week since 2026-08-01, ongoing until the owner ends it. Not a loan.
2. LOAN #2 R900,00 given 2026-08-11 (cash advance): R350,00 deducted this week; now fully repaid — CLOSED, nothing further.
3. LOAN #3 R600,00 given 2026-08-16 (cash advance): R150,00 deducted this week (only what was left); now fully repaid — CLOSED, nothing further.
4. LOAN #6 R600,00 given 2026-09-01 (children's school trip): R240,00 deducted this week; R360,00 still owing → R250,00/week from next payroll.
5. LOAN #8 R500,00 given 2026-09-22 (fuel / oil): NOTHING taken this week by owner decision — R500,00 still owing, R250,00/week from the next payroll.</t>
        </is>
      </c>
    </row>
    <row r="12">
      <c r="A12" s="37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  <c r="N12" s="36"/>
    </row>
    <row r="13" ht="43" customHeight="1">
      <c r="A13" s="37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  <c r="N13" s="36" t="inlineStr">
        <is>
          <t xml:space="preserve">FIXED R1 000,00/week — Car Payment (vehicle: held from wages weekly, paid over to the worker on the 25th of each month), every week since 2026-09-26, ongoing until the owner ends it. Not a loan.</t>
        </is>
      </c>
    </row>
    <row r="14">
      <c r="A14" s="37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  <c r="N14" s="36"/>
    </row>
    <row r="15">
      <c r="A15" s="37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  <c r="N15" s="36"/>
    </row>
    <row r="16">
      <c r="A16" s="37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  <c r="N16" s="36"/>
    </row>
    <row r="17">
      <c r="A17" s="37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  <c r="N17" s="36"/>
    </row>
    <row r="18">
      <c r="A18" s="37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  <c r="N18" s="36"/>
    </row>
    <row r="19">
      <c r="A19" s="37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  <c r="N19" s="36"/>
    </row>
    <row r="20">
      <c r="A20" s="37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  <c r="N20" s="36"/>
    </row>
    <row r="21">
      <c r="A21" s="37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  <c r="N21" s="36"/>
    </row>
    <row r="22">
      <c r="A22" s="37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  <c r="N22" s="35"/>
    </row>
  </sheetData>
  <mergeCells count="2">
    <mergeCell ref="A1:N1"/>
    <mergeCell ref="A2:N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5" t="inlineStr">
        <is>
          <t xml:space="preserve">OPEN</t>
        </is>
      </c>
      <c r="B14" s="17">
        <v>10315</v>
      </c>
      <c r="C14" s="17" t="inlineStr">
        <is>
          <t xml:space="preserve">Lebo Lebo</t>
        </is>
      </c>
      <c r="D14" s="17" t="inlineStr">
        <is>
          <t xml:space="preserve">2026-09-30</t>
        </is>
      </c>
      <c r="E14" s="17" t="inlineStr">
        <is>
          <t xml:space="preserve">07:00–16:00 Sunbet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2026-09-30 for 07:00-16:00.</t>
        </is>
      </c>
      <c r="H14" s="17"/>
      <c r="I14" s="18">
        <v>9</v>
      </c>
      <c r="J14" s="17"/>
      <c r="K14" s="17"/>
      <c r="L14" s="17"/>
      <c r="M14" s="17"/>
      <c r="N14" s="17"/>
    </row>
    <row r="15">
      <c r="A15" s="20" t="inlineStr">
        <is>
          <t xml:space="preserve">RESOLVED</t>
        </is>
      </c>
      <c r="B15" s="20">
        <v>10168</v>
      </c>
      <c r="C15" s="20" t="inlineStr">
        <is>
          <t xml:space="preserve">Patrick Ngozo</t>
        </is>
      </c>
      <c r="D15" s="20" t="inlineStr">
        <is>
          <t xml:space="preserve">2026-09-25</t>
        </is>
      </c>
      <c r="E15" s="20" t="inlineStr">
        <is>
          <t xml:space="preserve">05:00–07:00 Pretoria Country Club</t>
        </is>
      </c>
      <c r="F15" s="20" t="inlineStr">
        <is>
          <t xml:space="preserve">Manual overlap review</t>
        </is>
      </c>
      <c r="G15" s="20" t="inlineStr">
        <is>
          <t xml:space="preserve">the same employee has another overlapping entry on 2026-09-25 for 05:00-07:00.</t>
        </is>
      </c>
      <c r="H15" s="20"/>
      <c r="I15" s="21">
        <v>2</v>
      </c>
      <c r="J15" s="21">
        <v>2</v>
      </c>
      <c r="K15" s="20" t="inlineStr">
        <is>
          <t xml:space="preserve">approve adjusted</t>
        </is>
      </c>
      <c r="L15" s="20" t="inlineStr">
        <is>
          <t xml:space="preserve">Bernie Burness</t>
        </is>
      </c>
      <c r="M15" s="20" t="inlineStr">
        <is>
          <t xml:space="preserve">2026-09-27 14:15:39</t>
        </is>
      </c>
      <c r="N15" s="20" t="inlineStr">
        <is>
          <t xml:space="preserve">Approved.</t>
        </is>
      </c>
    </row>
    <row r="16">
      <c r="A16" s="20" t="inlineStr">
        <is>
          <t xml:space="preserve">RESOLVED</t>
        </is>
      </c>
      <c r="B16" s="20">
        <v>10173</v>
      </c>
      <c r="C16" s="20" t="inlineStr">
        <is>
          <t xml:space="preserve">Patrick Ngozo</t>
        </is>
      </c>
      <c r="D16" s="20" t="inlineStr">
        <is>
          <t xml:space="preserve">2026-09-25</t>
        </is>
      </c>
      <c r="E16" s="20" t="inlineStr">
        <is>
          <t xml:space="preserve">05:00–07:00 Pretoria Country Club</t>
        </is>
      </c>
      <c r="F16" s="20" t="inlineStr">
        <is>
          <t xml:space="preserve">ALREADY PAID — this claim is covered by what was paid</t>
        </is>
      </c>
      <c r="G16" s="20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6" s="21">
        <v>1.5</v>
      </c>
      <c r="I16" s="21">
        <v>2</v>
      </c>
      <c r="J16" s="21">
        <v>1.5</v>
      </c>
      <c r="K16" s="20" t="inlineStr">
        <is>
          <t xml:space="preserve">approve additional hours only</t>
        </is>
      </c>
      <c r="L16" s="20" t="inlineStr">
        <is>
          <t xml:space="preserve">Bernie Burness</t>
        </is>
      </c>
      <c r="M16" s="20" t="inlineStr">
        <is>
          <t xml:space="preserve">2026-09-27 14:20:06</t>
        </is>
      </c>
      <c r="N16" s="20" t="inlineStr">
        <is>
          <t xml:space="preserve">Owner 27 Sep: already paid 06:30–16:00 on #9839 (R902,50). Only the uncovered 05:00–06:30 = 1,5 h × R95 = R142,50 is due on #9870 — row set to R142,50.</t>
        </is>
      </c>
    </row>
    <row r="17">
      <c r="A17" s="20" t="inlineStr">
        <is>
          <t xml:space="preserve">RESOLVED</t>
        </is>
      </c>
      <c r="B17" s="20">
        <v>10189</v>
      </c>
      <c r="C17" s="20" t="inlineStr">
        <is>
          <t xml:space="preserve">Patrick Ngozo</t>
        </is>
      </c>
      <c r="D17" s="20" t="inlineStr">
        <is>
          <t xml:space="preserve">2026-09-29</t>
        </is>
      </c>
      <c r="E17" s="20" t="inlineStr">
        <is>
          <t xml:space="preserve">06:30–16:00 Wearhouse</t>
        </is>
      </c>
      <c r="F17" s="20" t="inlineStr">
        <is>
          <t xml:space="preserve">Rate choice: Warehouse or Event/Venue</t>
        </is>
      </c>
      <c r="G17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20"/>
      <c r="I17" s="21">
        <v>9.5</v>
      </c>
      <c r="J17" s="20"/>
      <c r="K17" s="20" t="inlineStr">
        <is>
          <t xml:space="preserve">approve original</t>
        </is>
      </c>
      <c r="L17" s="20" t="inlineStr">
        <is>
          <t xml:space="preserve">Bernie Burness</t>
        </is>
      </c>
      <c r="M17" s="20" t="inlineStr">
        <is>
          <t xml:space="preserve">2026-09-29 12:53:11</t>
        </is>
      </c>
      <c r="N17" s="20" t="inlineStr">
        <is>
          <t xml:space="preserve">Warehouse rate chosen — shift #9878 R795,00 → R731,25 (Warehouse: 9.5 h − 0.5 h staff meeting 07:00–07:30 (unpaid, R40,63) = 9 h × R81,25)</t>
        </is>
      </c>
    </row>
    <row r="18">
      <c r="A18" s="20" t="inlineStr">
        <is>
          <t xml:space="preserve">RESOLVED</t>
        </is>
      </c>
      <c r="B18" s="20">
        <v>10234</v>
      </c>
      <c r="C18" s="20" t="inlineStr">
        <is>
          <t xml:space="preserve">Patrick Ngozo</t>
        </is>
      </c>
      <c r="D18" s="20" t="inlineStr">
        <is>
          <t xml:space="preserve">2026-10-01</t>
        </is>
      </c>
      <c r="E18" s="20" t="inlineStr">
        <is>
          <t xml:space="preserve">06:30–16:00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9.5</v>
      </c>
      <c r="J18" s="20"/>
      <c r="K18" s="20" t="inlineStr">
        <is>
          <t xml:space="preserve">approve original</t>
        </is>
      </c>
      <c r="L18" s="20" t="inlineStr">
        <is>
          <t xml:space="preserve">Bernie Burness</t>
        </is>
      </c>
      <c r="M18" s="20" t="inlineStr">
        <is>
          <t xml:space="preserve">2026-09-30 02:54:31</t>
        </is>
      </c>
      <c r="N18" s="20" t="inlineStr">
        <is>
          <t xml:space="preserve">Event/Venue rate chosen — shift #9902 R795,00 → R902,50 (Venue/event: 9.5 h × R95)</t>
        </is>
      </c>
    </row>
    <row r="19">
      <c r="A19" s="23" t="inlineStr">
        <is>
          <t xml:space="preserve">RESOLVED</t>
        </is>
      </c>
      <c r="B19" s="23">
        <v>10253</v>
      </c>
      <c r="C19" s="23" t="inlineStr">
        <is>
          <t xml:space="preserve">Solomon Moyo</t>
        </is>
      </c>
      <c r="D19" s="23" t="inlineStr">
        <is>
          <t xml:space="preserve">2026-09-29</t>
        </is>
      </c>
      <c r="E19" s="23" t="inlineStr">
        <is>
          <t xml:space="preserve">07:00–16:00 Warehouse</t>
        </is>
      </c>
      <c r="F19" s="23" t="inlineStr">
        <is>
          <t xml:space="preserve">Rate choice: Warehouse or Event/Venue</t>
        </is>
      </c>
      <c r="G19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9" s="23"/>
      <c r="I19" s="24">
        <v>9</v>
      </c>
      <c r="J19" s="23"/>
      <c r="K19" s="23" t="inlineStr">
        <is>
          <t xml:space="preserve">approve adjusted</t>
        </is>
      </c>
      <c r="L19" s="23" t="inlineStr">
        <is>
          <t xml:space="preserve">Bernie Burness (via assistant)</t>
        </is>
      </c>
      <c r="M19" s="23" t="inlineStr">
        <is>
          <t xml:space="preserve">2026-09-30 07:34:12</t>
        </is>
      </c>
      <c r="N19" s="23" t="inlineStr">
        <is>
          <t xml:space="preserve">Owner 30 Sep 2026: rate set by team/date rule (Sunbet set-up = event; same team same day = same rate). See row note.</t>
        </is>
      </c>
    </row>
    <row r="20">
      <c r="A20" s="26" t="inlineStr">
        <is>
          <t xml:space="preserve">RESOLVED</t>
        </is>
      </c>
      <c r="B20" s="26">
        <v>10180</v>
      </c>
      <c r="C20" s="26" t="inlineStr">
        <is>
          <t xml:space="preserve">Takavaudza Chokuda</t>
        </is>
      </c>
      <c r="D20" s="26" t="inlineStr">
        <is>
          <t xml:space="preserve">2026-09-26</t>
        </is>
      </c>
      <c r="E20" s="26" t="inlineStr">
        <is>
          <t xml:space="preserve">06:00–13:00 Warehouse</t>
        </is>
      </c>
      <c r="F20" s="26" t="inlineStr">
        <is>
          <t xml:space="preserve">Crew pattern — 4 of 5 at a venue, this one says Warehouse</t>
        </is>
      </c>
      <c r="G20" s="26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20" s="26"/>
      <c r="I20" s="27">
        <v>7</v>
      </c>
      <c r="J20" s="27">
        <v>7</v>
      </c>
      <c r="K20" s="26" t="inlineStr">
        <is>
          <t xml:space="preserve">approve original</t>
        </is>
      </c>
      <c r="L20" s="26" t="inlineStr">
        <is>
          <t xml:space="preserve">Bernie Burness</t>
        </is>
      </c>
      <c r="M20" s="26" t="inlineStr">
        <is>
          <t xml:space="preserve">2026-09-28 16:09:08</t>
        </is>
      </c>
      <c r="N20" s="26" t="inlineStr">
        <is>
          <t xml:space="preserve">WAREHOUSE — R81,25/h chosen by Bernie Burness for draft #930 — will pay R568,75 when final-submitted (Warehouse: 7 h × R81,25)</t>
        </is>
      </c>
    </row>
    <row r="21">
      <c r="A21" s="26" t="inlineStr">
        <is>
          <t xml:space="preserve">RESOLVED</t>
        </is>
      </c>
      <c r="B21" s="26">
        <v>10276</v>
      </c>
      <c r="C21" s="26" t="inlineStr">
        <is>
          <t xml:space="preserve">Takavaudza Chokuda</t>
        </is>
      </c>
      <c r="D21" s="26" t="inlineStr">
        <is>
          <t xml:space="preserve">2026-09-27</t>
        </is>
      </c>
      <c r="E21" s="26" t="inlineStr">
        <is>
          <t xml:space="preserve">07:00–12:00 Warehouse</t>
        </is>
      </c>
      <c r="F21" s="26" t="inlineStr">
        <is>
          <t xml:space="preserve">Crew pattern — 3 of 4 at a venue, this one says Warehouse</t>
        </is>
      </c>
      <c r="G21" s="26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1" s="26"/>
      <c r="I21" s="27">
        <v>5</v>
      </c>
      <c r="J21" s="26"/>
      <c r="K21" s="26" t="inlineStr">
        <is>
          <t xml:space="preserve">approve original</t>
        </is>
      </c>
      <c r="L21" s="26" t="inlineStr">
        <is>
          <t xml:space="preserve">Bernie Burness (via assistant)</t>
        </is>
      </c>
      <c r="M21" s="26" t="inlineStr">
        <is>
          <t xml:space="preserve">2026-09-30 07:34:48</t>
        </is>
      </c>
      <c r="N21" s="26" t="inlineStr">
        <is>
          <t xml:space="preserve">Owner 27/28 Sep: Taka Sunday warehouse 07:00–12:00 at venue Sunday rate (R114) then house 12:30 — already ruled and priced.</t>
        </is>
      </c>
    </row>
    <row r="22">
      <c r="A22" s="26" t="inlineStr">
        <is>
          <t xml:space="preserve">RESOLVED</t>
        </is>
      </c>
      <c r="B22" s="26">
        <v>10190</v>
      </c>
      <c r="C22" s="26" t="inlineStr">
        <is>
          <t xml:space="preserve">Takavaudza Chokuda</t>
        </is>
      </c>
      <c r="D22" s="26" t="inlineStr">
        <is>
          <t xml:space="preserve">2026-09-28</t>
        </is>
      </c>
      <c r="E22" s="26" t="inlineStr">
        <is>
          <t xml:space="preserve">07:00–16:00 Wanderas, Orlando pirates</t>
        </is>
      </c>
      <c r="F22" s="26" t="inlineStr">
        <is>
          <t xml:space="preserve">Warehouse claimed — but the entry names “Johannesburg”</t>
        </is>
      </c>
      <c r="G22" s="26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2" s="26"/>
      <c r="I22" s="27">
        <v>9</v>
      </c>
      <c r="J22" s="27">
        <v>9</v>
      </c>
      <c r="K22" s="26" t="inlineStr">
        <is>
          <t xml:space="preserve">approve original</t>
        </is>
      </c>
      <c r="L22" s="26" t="inlineStr">
        <is>
          <t xml:space="preserve">Bernie Burness</t>
        </is>
      </c>
      <c r="M22" s="26" t="inlineStr">
        <is>
          <t xml:space="preserve">2026-09-29 12:54:03</t>
        </is>
      </c>
      <c r="N22" s="26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3">
      <c r="A23" s="26" t="inlineStr">
        <is>
          <t xml:space="preserve">RESOLVED</t>
        </is>
      </c>
      <c r="B23" s="26">
        <v>10151</v>
      </c>
      <c r="C23" s="26" t="inlineStr">
        <is>
          <t xml:space="preserve">Takavaudza Chokuda</t>
        </is>
      </c>
      <c r="D23" s="26" t="inlineStr">
        <is>
          <t xml:space="preserve">2026-09-29</t>
        </is>
      </c>
      <c r="E23" s="26" t="inlineStr">
        <is>
          <t xml:space="preserve">18:00–21:00 FNB stadium</t>
        </is>
      </c>
      <c r="F23" s="26" t="inlineStr">
        <is>
          <t xml:space="preserve">Warehouse claimed — but the entry names “Johannesburg”</t>
        </is>
      </c>
      <c r="G23" s="26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3" s="26"/>
      <c r="I23" s="27">
        <v>3</v>
      </c>
      <c r="J23" s="26"/>
      <c r="K23" s="26" t="inlineStr">
        <is>
          <t xml:space="preserve">approve original</t>
        </is>
      </c>
      <c r="L23" s="26" t="inlineStr">
        <is>
          <t xml:space="preserve">Bernie Burness</t>
        </is>
      </c>
      <c r="M23" s="26" t="inlineStr">
        <is>
          <t xml:space="preserve">2026-09-28 16:08:29</t>
        </is>
      </c>
      <c r="N23" s="26" t="inlineStr">
        <is>
          <t xml:space="preserve">Event/Venue rate chosen — shift #399 R540,00 → R570,00 (Venue/event: 6 h × R95)</t>
        </is>
      </c>
    </row>
    <row r="24">
      <c r="A24" s="26" t="inlineStr">
        <is>
          <t xml:space="preserve">RESOLVED</t>
        </is>
      </c>
      <c r="B24" s="26">
        <v>10225</v>
      </c>
      <c r="C24" s="26" t="inlineStr">
        <is>
          <t xml:space="preserve">Takavaudza Chokuda</t>
        </is>
      </c>
      <c r="D24" s="26" t="inlineStr">
        <is>
          <t xml:space="preserve">2026-09-29</t>
        </is>
      </c>
      <c r="E24" s="26" t="inlineStr">
        <is>
          <t xml:space="preserve">07:00–16:00 Warehouse</t>
        </is>
      </c>
      <c r="F24" s="26" t="inlineStr">
        <is>
          <t xml:space="preserve">Warehouse claimed — but the entry names “gardens”</t>
        </is>
      </c>
      <c r="G24" s="26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4" s="26"/>
      <c r="I24" s="27">
        <v>9</v>
      </c>
      <c r="J24" s="27">
        <v>9</v>
      </c>
      <c r="K24" s="26" t="inlineStr">
        <is>
          <t xml:space="preserve">approve original</t>
        </is>
      </c>
      <c r="L24" s="26" t="inlineStr">
        <is>
          <t xml:space="preserve">Bernie Burness</t>
        </is>
      </c>
      <c r="M24" s="26" t="inlineStr">
        <is>
          <t xml:space="preserve">2026-09-29 16:34:25</t>
        </is>
      </c>
      <c r="N24" s="26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5">
      <c r="A25" s="26" t="inlineStr">
        <is>
          <t xml:space="preserve">RESOLVED</t>
        </is>
      </c>
      <c r="B25" s="26">
        <v>10226</v>
      </c>
      <c r="C25" s="26" t="inlineStr">
        <is>
          <t xml:space="preserve">Takavaudza Chokuda</t>
        </is>
      </c>
      <c r="D25" s="26" t="inlineStr">
        <is>
          <t xml:space="preserve">2026-09-30</t>
        </is>
      </c>
      <c r="E25" s="26" t="inlineStr">
        <is>
          <t xml:space="preserve">07:00–16:00 Sunbet</t>
        </is>
      </c>
      <c r="F25" s="26" t="inlineStr">
        <is>
          <t xml:space="preserve">Warehouse claimed — but the entry names “Pretoria”</t>
        </is>
      </c>
      <c r="G25" s="26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5" s="26"/>
      <c r="I25" s="27">
        <v>9</v>
      </c>
      <c r="J25" s="27">
        <v>9</v>
      </c>
      <c r="K25" s="26" t="inlineStr">
        <is>
          <t xml:space="preserve">approve original</t>
        </is>
      </c>
      <c r="L25" s="26" t="inlineStr">
        <is>
          <t xml:space="preserve">Bernie Burness</t>
        </is>
      </c>
      <c r="M25" s="26" t="inlineStr">
        <is>
          <t xml:space="preserve">2026-09-29 16:34:28</t>
        </is>
      </c>
      <c r="N25" s="26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6">
      <c r="A26" s="26" t="inlineStr">
        <is>
          <t xml:space="preserve">RESOLVED</t>
        </is>
      </c>
      <c r="B26" s="26">
        <v>10227</v>
      </c>
      <c r="C26" s="26" t="inlineStr">
        <is>
          <t xml:space="preserve">Takavaudza Chokuda</t>
        </is>
      </c>
      <c r="D26" s="26" t="inlineStr">
        <is>
          <t xml:space="preserve">2026-10-01</t>
        </is>
      </c>
      <c r="E26" s="26" t="inlineStr">
        <is>
          <t xml:space="preserve">07:00–16:00 Warehouse</t>
        </is>
      </c>
      <c r="F26" s="26" t="inlineStr">
        <is>
          <t xml:space="preserve">Crew pattern — 4 of 5 at a venue, this one says Warehouse</t>
        </is>
      </c>
      <c r="G26" s="26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6" s="26"/>
      <c r="I26" s="27">
        <v>9</v>
      </c>
      <c r="J26" s="27">
        <v>9</v>
      </c>
      <c r="K26" s="26" t="inlineStr">
        <is>
          <t xml:space="preserve">approve original</t>
        </is>
      </c>
      <c r="L26" s="26" t="inlineStr">
        <is>
          <t xml:space="preserve">Bernie Burness</t>
        </is>
      </c>
      <c r="M26" s="26" t="inlineStr">
        <is>
          <t xml:space="preserve">2026-09-29 16:35:11</t>
        </is>
      </c>
      <c r="N26" s="26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10228</v>
      </c>
      <c r="C27" s="26" t="inlineStr">
        <is>
          <t xml:space="preserve">Takavaudza Chokuda</t>
        </is>
      </c>
      <c r="D27" s="26" t="inlineStr">
        <is>
          <t xml:space="preserve">2026-10-02</t>
        </is>
      </c>
      <c r="E27" s="26" t="inlineStr">
        <is>
          <t xml:space="preserve">07:00–16:00 Warehouse</t>
        </is>
      </c>
      <c r="F27" s="26" t="inlineStr">
        <is>
          <t xml:space="preserve">Crew pattern — 4 of 5 at a venue, this one says Warehouse</t>
        </is>
      </c>
      <c r="G27" s="26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7" s="26"/>
      <c r="I27" s="27">
        <v>9</v>
      </c>
      <c r="J27" s="27">
        <v>9</v>
      </c>
      <c r="K27" s="26" t="inlineStr">
        <is>
          <t xml:space="preserve">approve original</t>
        </is>
      </c>
      <c r="L27" s="26" t="inlineStr">
        <is>
          <t xml:space="preserve">Bernie Burness</t>
        </is>
      </c>
      <c r="M27" s="26" t="inlineStr">
        <is>
          <t xml:space="preserve">2026-09-29 16:35:22</t>
        </is>
      </c>
      <c r="N27" s="26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8">
      <c r="A28" s="29" t="inlineStr">
        <is>
          <t xml:space="preserve">RESOLVED</t>
        </is>
      </c>
      <c r="B28" s="29">
        <v>10301</v>
      </c>
      <c r="C28" s="29" t="inlineStr">
        <is>
          <t xml:space="preserve">Thandanani Nkala</t>
        </is>
      </c>
      <c r="D28" s="29" t="inlineStr">
        <is>
          <t xml:space="preserve">2026-09-28</t>
        </is>
      </c>
      <c r="E28" s="29" t="inlineStr">
        <is>
          <t xml:space="preserve">07:00–16:00 Orlando Amstel Arena/Wanderers Stadium/Warehouse</t>
        </is>
      </c>
      <c r="F28" s="29" t="inlineStr">
        <is>
          <t xml:space="preserve">Rate choice: Warehouse or Event/Venue</t>
        </is>
      </c>
      <c r="G28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9"/>
      <c r="I28" s="30">
        <v>9</v>
      </c>
      <c r="J28" s="29"/>
      <c r="K28" s="29" t="inlineStr">
        <is>
          <t xml:space="preserve">approve adjusted</t>
        </is>
      </c>
      <c r="L28" s="29" t="inlineStr">
        <is>
          <t xml:space="preserve">Bernie Burness (via assistant)</t>
        </is>
      </c>
      <c r="M28" s="29" t="inlineStr">
        <is>
          <t xml:space="preserve">2026-09-30 07:34:12</t>
        </is>
      </c>
      <c r="N28" s="29" t="inlineStr">
        <is>
          <t xml:space="preserve">Owner 30 Sep 2026: rate set by team/date rule (Sunbet set-up = event; same team same day = same rate). See row note.</t>
        </is>
      </c>
    </row>
    <row r="29">
      <c r="A29" s="29" t="inlineStr">
        <is>
          <t xml:space="preserve">RESOLVED</t>
        </is>
      </c>
      <c r="B29" s="29">
        <v>10299</v>
      </c>
      <c r="C29" s="29" t="inlineStr">
        <is>
          <t xml:space="preserve">Thandanani Nkala</t>
        </is>
      </c>
      <c r="D29" s="29" t="inlineStr">
        <is>
          <t xml:space="preserve">2026-09-29</t>
        </is>
      </c>
      <c r="E29" s="29" t="inlineStr">
        <is>
          <t xml:space="preserve">07:00–16:00 Warehouse</t>
        </is>
      </c>
      <c r="F29" s="29" t="inlineStr">
        <is>
          <t xml:space="preserve">Rate choice: Warehouse or Event/Venue</t>
        </is>
      </c>
      <c r="G29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9" s="29"/>
      <c r="I29" s="30">
        <v>9</v>
      </c>
      <c r="J29" s="29"/>
      <c r="K29" s="29" t="inlineStr">
        <is>
          <t xml:space="preserve">approve adjusted</t>
        </is>
      </c>
      <c r="L29" s="29" t="inlineStr">
        <is>
          <t xml:space="preserve">Bernie Burness (via assistant)</t>
        </is>
      </c>
      <c r="M29" s="29" t="inlineStr">
        <is>
          <t xml:space="preserve">2026-09-30 07:34:12</t>
        </is>
      </c>
      <c r="N29" s="29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250</v>
      </c>
      <c r="H13" s="4">
        <v>1750</v>
      </c>
      <c r="I13" s="5">
        <v>250</v>
      </c>
      <c r="J13" s="4">
        <v>250</v>
      </c>
      <c r="K13" s="0" t="inlineStr">
        <is>
          <t xml:space="preserve">weekly</t>
        </is>
      </c>
      <c r="L13" s="0" t="inlineStr">
        <is>
          <t xml:space="preserve">active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250</v>
      </c>
      <c r="H14" s="4">
        <v>250</v>
      </c>
      <c r="I14" s="5">
        <v>250</v>
      </c>
      <c r="J14" s="4">
        <v>250</v>
      </c>
      <c r="K14" s="0" t="inlineStr">
        <is>
          <t xml:space="preserve">weekly</t>
        </is>
      </c>
      <c r="L14" s="0" t="inlineStr">
        <is>
          <t xml:space="preserve">active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900</v>
      </c>
      <c r="I15" s="5">
        <v>0</v>
      </c>
      <c r="J15" s="4">
        <v>350</v>
      </c>
      <c r="K15" s="0" t="inlineStr">
        <is>
          <t xml:space="preserve">weekly</t>
        </is>
      </c>
      <c r="L15" s="0" t="inlineStr">
        <is>
          <t xml:space="preserve">paid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250</v>
      </c>
      <c r="H17" s="4">
        <v>240</v>
      </c>
      <c r="I17" s="5">
        <v>360</v>
      </c>
      <c r="J17" s="4">
        <v>240</v>
      </c>
      <c r="K17" s="0" t="inlineStr">
        <is>
          <t xml:space="preserve">weekly</t>
        </is>
      </c>
      <c r="L17" s="0" t="inlineStr">
        <is>
          <t xml:space="preserve">active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250</v>
      </c>
      <c r="H18" s="4">
        <v>0</v>
      </c>
      <c r="I18" s="5">
        <v>500</v>
      </c>
      <c r="J18" s="4">
        <v>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250</v>
      </c>
      <c r="G25" s="4">
        <v>250</v>
      </c>
      <c r="H25" s="4">
        <v>500</v>
      </c>
      <c r="I25" s="4">
        <v>250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350</v>
      </c>
      <c r="G29" s="4">
        <v>350</v>
      </c>
      <c r="H29" s="4">
        <v>350</v>
      </c>
      <c r="I29" s="4">
        <v>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240</v>
      </c>
      <c r="G35" s="4">
        <v>240</v>
      </c>
      <c r="H35" s="4">
        <v>600</v>
      </c>
      <c r="I35" s="4">
        <v>360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250</v>
      </c>
      <c r="G36" s="4">
        <v>250</v>
      </c>
      <c r="H36" s="4">
        <v>500</v>
      </c>
      <c r="I36" s="4">
        <v>250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deferred</t>
        </is>
      </c>
      <c r="F37" s="4">
        <v>250</v>
      </c>
      <c r="G37" s="4">
        <v>0</v>
      </c>
      <c r="H37" s="4">
        <v>500</v>
      </c>
      <c r="I37" s="4">
        <v>500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Linked'!O68</f>
      </c>
      <c r="D9" s="22">
        <f>IF('Wage Detail Linked'!O68=0,IF(C9&gt;0,ROUND(C9*95,2),0),ROUND('Wage Detail Linked'!R68*C9/'Wage Detail Linked'!O68,2))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Linked'!O69</f>
      </c>
      <c r="D10" s="22">
        <f>IF('Wage Detail Linked'!O69=0,IF(C10&gt;0,ROUND(C10*95,2),0),ROUND('Wage Detail Linked'!R69*C10/'Wage Detail Linked'!O69,2))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Linked'!O83</f>
      </c>
      <c r="D13" s="25">
        <f>IF('Wage Detail Linked'!O83=0,IF(C13&gt;0,ROUND(C13*95,2),0),ROUND('Wage Detail Linked'!R83*C13/'Wage Detail Linked'!O83,2))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Linked'!O99</f>
      </c>
      <c r="D16" s="28">
        <f>IF('Wage Detail Linked'!O99=0,IF(C16&gt;0,ROUND(C16*90,2),0),ROUND('Wage Detail Linked'!R99*C16/'Wage Detail Linked'!O99,2))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