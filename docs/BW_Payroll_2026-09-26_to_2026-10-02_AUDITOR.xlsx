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age Detail Linked" sheetId="1" r:id="rId1"/>
    <sheet name="Auditor Trail Linked" sheetId="2" r:id="rId2"/>
    <sheet name="Auditor Summary" sheetId="3" r:id="rId3"/>
    <sheet name="Flagged - Reviewed" sheetId="4" r:id="rId4"/>
    <sheet name="Loans &amp; Deductions" sheetId="5" r:id="rId5"/>
    <sheet name="Missed Shifts" sheetId="6" r:id="rId6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&quot;#,##0.00"/>
  </numFmts>
  <fonts count="4">
    <font>
      <sz val="10"/>
      <name val="Calibri"/>
    </font>
    <font>
      <b/>
      <sz val="10"/>
      <name val="Calibri"/>
    </font>
    <font>
      <b/>
      <sz val="13"/>
      <name val="Calibri"/>
    </font>
    <font>
      <i/>
      <sz val="9"/>
      <color rgb="FF555555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2A8"/>
      </patternFill>
    </fill>
    <fill>
      <patternFill patternType="solid">
        <fgColor rgb="FFEAF3FF"/>
      </patternFill>
    </fill>
    <fill>
      <patternFill patternType="solid">
        <fgColor rgb="FFFDE2E2"/>
      </patternFill>
    </fill>
    <fill>
      <patternFill patternType="solid">
        <fgColor rgb="FFEAF3FF"/>
      </patternFill>
    </fill>
    <fill>
      <patternFill patternType="solid">
        <fgColor rgb="FFEAF8EC"/>
      </patternFill>
    </fill>
    <fill>
      <patternFill patternType="solid">
        <fgColor rgb="FFFFF6E5"/>
      </patternFill>
    </fill>
    <fill>
      <patternFill patternType="solid">
        <fgColor rgb="FFF6EAFB"/>
      </patternFill>
    </fill>
    <fill>
      <patternFill patternType="solid">
        <fgColor rgb="FFFFEEF0"/>
      </patternFill>
    </fill>
    <fill>
      <patternFill patternType="solid">
        <fgColor rgb="FFEDF7F9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0" fillId="0" borderId="0" xfId="0" applyNumberFormat="1"/>
    <xf numFmtId="164" fontId="1" fillId="0" borderId="0" xfId="0" applyNumberFormat="1" applyFont="1"/>
    <xf numFmtId="0" fontId="0" fillId="3" borderId="1" xfId="0" applyFill="1" applyBorder="1"/>
    <xf numFmtId="164" fontId="0" fillId="3" borderId="1" xfId="0" applyNumberFormat="1" applyFill="1" applyBorder="1"/>
    <xf numFmtId="0" fontId="0" fillId="0" borderId="0" xfId="0" applyAlignment="1">
      <alignment wrapText="1" vertical="top"/>
    </xf>
    <xf numFmtId="2" fontId="0" fillId="0" borderId="0" xfId="0" applyNumberFormat="1"/>
    <xf numFmtId="2" fontId="1" fillId="0" borderId="0" xfId="0" applyNumberFormat="1" applyFont="1"/>
    <xf numFmtId="0" fontId="3" fillId="0" borderId="0" xfId="0" applyFont="1" applyAlignment="1">
      <alignment wrapText="1" vertical="top"/>
    </xf>
    <xf numFmtId="2" fontId="1" fillId="4" borderId="0" xfId="0" applyNumberFormat="1" applyFont="1" applyFill="1"/>
    <xf numFmtId="164" fontId="1" fillId="4" borderId="0" xfId="0" applyNumberFormat="1" applyFont="1" applyFill="1"/>
    <xf numFmtId="0" fontId="1" fillId="5" borderId="0" xfId="0" applyFont="1" applyFill="1" applyAlignment="1">
      <alignment wrapText="1" vertical="top"/>
    </xf>
    <xf numFmtId="0" fontId="1" fillId="5" borderId="0" xfId="0" applyFont="1" applyFill="1"/>
    <xf numFmtId="2" fontId="1" fillId="3" borderId="1" xfId="0" applyNumberFormat="1" applyFont="1" applyFill="1" applyBorder="1"/>
    <xf numFmtId="0" fontId="0" fillId="6" borderId="0" xfId="0" applyFill="1"/>
    <xf numFmtId="2" fontId="0" fillId="6" borderId="0" xfId="0" applyNumberFormat="1" applyFill="1"/>
    <xf numFmtId="164" fontId="0" fillId="6" borderId="0" xfId="0" applyNumberFormat="1" applyFill="1"/>
    <xf numFmtId="0" fontId="0" fillId="7" borderId="0" xfId="0" applyFill="1"/>
    <xf numFmtId="2" fontId="0" fillId="7" borderId="0" xfId="0" applyNumberFormat="1" applyFill="1"/>
    <xf numFmtId="164" fontId="0" fillId="7" borderId="0" xfId="0" applyNumberFormat="1" applyFill="1"/>
    <xf numFmtId="0" fontId="0" fillId="8" borderId="0" xfId="0" applyFill="1"/>
    <xf numFmtId="2" fontId="0" fillId="8" borderId="0" xfId="0" applyNumberFormat="1" applyFill="1"/>
    <xf numFmtId="164" fontId="0" fillId="8" borderId="0" xfId="0" applyNumberFormat="1" applyFill="1"/>
    <xf numFmtId="0" fontId="0" fillId="9" borderId="0" xfId="0" applyFill="1"/>
    <xf numFmtId="2" fontId="0" fillId="9" borderId="0" xfId="0" applyNumberFormat="1" applyFill="1"/>
    <xf numFmtId="164" fontId="0" fillId="9" borderId="0" xfId="0" applyNumberFormat="1" applyFill="1"/>
    <xf numFmtId="0" fontId="0" fillId="10" borderId="0" xfId="0" applyFill="1"/>
    <xf numFmtId="2" fontId="0" fillId="10" borderId="0" xfId="0" applyNumberFormat="1" applyFill="1"/>
    <xf numFmtId="164" fontId="0" fillId="10" borderId="0" xfId="0" applyNumberFormat="1" applyFill="1"/>
    <xf numFmtId="0" fontId="0" fillId="11" borderId="0" xfId="0" applyFill="1"/>
    <xf numFmtId="2" fontId="0" fillId="11" borderId="0" xfId="0" applyNumberFormat="1" applyFill="1"/>
    <xf numFmtId="164" fontId="0" fillId="11" borderId="0" xfId="0" applyNumberForma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8" customWidth="1"/>
    <col min="2" max="2" width="24" customWidth="1"/>
    <col min="3" max="3" width="11" customWidth="1"/>
    <col min="4" max="4" width="10" customWidth="1"/>
    <col min="5" max="5" width="8" customWidth="1"/>
    <col min="6" max="6" width="24" customWidth="1"/>
    <col min="7" max="7" width="14" customWidth="1"/>
    <col min="8" max="8" width="26" customWidth="1"/>
    <col min="9" max="9" width="14" customWidth="1"/>
    <col min="10" max="10" width="7" customWidth="1"/>
    <col min="11" max="11" width="7" customWidth="1"/>
    <col min="12" max="12" width="9" customWidth="1"/>
    <col min="13" max="13" width="10" customWidth="1"/>
    <col min="14" max="14" width="10" customWidth="1"/>
    <col min="15" max="15" width="10" customWidth="1"/>
    <col min="16" max="16" width="12" customWidth="1"/>
    <col min="17" max="17" width="12" customWidth="1"/>
    <col min="18" max="18" width="12" customWidth="1"/>
    <col min="19" max="19" width="8" customWidth="1"/>
    <col min="20" max="20" width="60" customWidth="1"/>
    <col min="21" max="21" width="20" customWidth="1"/>
    <col min="22" max="22" width="9" customWidth="1"/>
    <col min="23" max="23" width="80" customWidth="1"/>
    <col min="24" max="24" width="80" customWidth="1"/>
  </cols>
  <sheetData>
    <row r="1" ht="22" customHeight="1">
      <c r="A1" s="3" t="inlineStr">
        <is>
          <t xml:space="preserve">B&amp;W PRODUCTIONS — WAGE DETAIL LINKED (master)</t>
        </is>
      </c>
    </row>
    <row r="2" ht="30" customHeight="1">
      <c r="A2" s="11" t="inlineStr">
        <is>
          <t xml:space="preserve">Payroll week 2026-09-26 to 2026-10-02. One row per paid shift, including CATCH-UPS = shifts worked in the previous payroll (already paid out) but entered late and paid in this payroll (real date shown). Edit only the yellow cells; Auditor Trail, Auditor Summary and Missed Shifts recalculate from this tab.</t>
        </is>
      </c>
    </row>
    <row r="4" ht="30" customHeight="1">
      <c r="A4" s="2" t="inlineStr">
        <is>
          <t xml:space="preserve">Shift ID</t>
        </is>
      </c>
      <c r="B4" s="2" t="inlineStr">
        <is>
          <t xml:space="preserve">Employee</t>
        </is>
      </c>
      <c r="C4" s="2" t="inlineStr">
        <is>
          <t xml:space="preserve">Date</t>
        </is>
      </c>
      <c r="D4" s="2" t="inlineStr">
        <is>
          <t xml:space="preserve">Day</t>
        </is>
      </c>
      <c r="E4" s="2" t="inlineStr">
        <is>
          <t xml:space="preserve">Catch-up? (worked in previous payroll, entered late, paid now)</t>
        </is>
      </c>
      <c r="F4" s="2" t="inlineStr">
        <is>
          <t xml:space="preserve">Venue / Outlet</t>
        </is>
      </c>
      <c r="G4" s="2" t="inlineStr">
        <is>
          <t xml:space="preserve">Area</t>
        </is>
      </c>
      <c r="H4" s="2" t="inlineStr">
        <is>
          <t xml:space="preserve">Description</t>
        </is>
      </c>
      <c r="I4" s="2" t="inlineStr">
        <is>
          <t xml:space="preserve">Work type</t>
        </is>
      </c>
      <c r="J4" s="2" t="inlineStr">
        <is>
          <t xml:space="preserve">Start</t>
        </is>
      </c>
      <c r="K4" s="2" t="inlineStr">
        <is>
          <t xml:space="preserve">End</t>
        </is>
      </c>
      <c r="L4" s="2" t="inlineStr">
        <is>
          <t xml:space="preserve">Claimed hours</t>
        </is>
      </c>
      <c r="M4" s="2" t="inlineStr">
        <is>
          <t xml:space="preserve">Approved hours (system)</t>
        </is>
      </c>
      <c r="N4" s="2" t="inlineStr">
        <is>
          <t xml:space="preserve">Override hours (edit)</t>
        </is>
      </c>
      <c r="O4" s="2" t="inlineStr">
        <is>
          <t xml:space="preserve">Effective hours</t>
        </is>
      </c>
      <c r="P4" s="2" t="inlineStr">
        <is>
          <t xml:space="preserve">Amount (system)</t>
        </is>
      </c>
      <c r="Q4" s="2" t="inlineStr">
        <is>
          <t xml:space="preserve">Override amount (edit)</t>
        </is>
      </c>
      <c r="R4" s="2" t="inlineStr">
        <is>
          <t xml:space="preserve">Effective amount</t>
        </is>
      </c>
      <c r="S4" s="2" t="inlineStr">
        <is>
          <t xml:space="preserve">Rate used</t>
        </is>
      </c>
      <c r="T4" s="2" t="inlineStr">
        <is>
          <t xml:space="preserve">Breakdown (how the amount was worked out)</t>
        </is>
      </c>
      <c r="U4" s="2" t="inlineStr">
        <is>
          <t xml:space="preserve">Override reason (edit)</t>
        </is>
      </c>
      <c r="V4" s="2" t="inlineStr">
        <is>
          <t xml:space="preserve">Review #</t>
        </is>
      </c>
      <c r="W4" s="2" t="inlineStr">
        <is>
          <t xml:space="preserve">System note</t>
        </is>
      </c>
      <c r="X4" s="2" t="inlineStr">
        <is>
          <t xml:space="preserve">Review decision</t>
        </is>
      </c>
    </row>
    <row r="5">
      <c r="A5" s="0">
        <v>9899</v>
      </c>
      <c r="B5" s="0" t="inlineStr">
        <is>
          <t xml:space="preserve">Bhekizitha Maphosa</t>
        </is>
      </c>
      <c r="C5" s="0" t="inlineStr">
        <is>
          <t xml:space="preserve">2026-09-26</t>
        </is>
      </c>
      <c r="D5" s="0" t="inlineStr">
        <is>
          <t xml:space="preserve">Saturday</t>
        </is>
      </c>
      <c r="F5" s="0" t="inlineStr">
        <is>
          <t xml:space="preserve">Sonop Pretoria</t>
        </is>
      </c>
      <c r="G5" s="0" t="inlineStr">
        <is>
          <t xml:space="preserve">Pretoria</t>
        </is>
      </c>
      <c r="H5" s="0" t="inlineStr">
        <is>
          <t xml:space="preserve">Setup</t>
        </is>
      </c>
      <c r="I5" s="0" t="inlineStr">
        <is>
          <t xml:space="preserve">Normal</t>
        </is>
      </c>
      <c r="J5" s="0" t="inlineStr">
        <is>
          <t xml:space="preserve">06:00</t>
        </is>
      </c>
      <c r="K5" s="0" t="inlineStr">
        <is>
          <t xml:space="preserve">14:00</t>
        </is>
      </c>
      <c r="L5" s="9">
        <v>8</v>
      </c>
      <c r="M5" s="9">
        <v>8</v>
      </c>
      <c r="N5" s="6"/>
      <c r="O5" s="10">
        <f>IF(N5&lt;&gt;"",N5,M5)</f>
      </c>
      <c r="P5" s="4">
        <v>760</v>
      </c>
      <c r="Q5" s="7"/>
      <c r="R5" s="5">
        <f>IF(Q5&lt;&gt;"",Q5,IF(N5&lt;&gt;"",IF(M5&gt;0,ROUND(P5*N5/M5,2),0),P5))</f>
      </c>
      <c r="S5" s="9">
        <v>95</v>
      </c>
      <c r="T5" s="0" t="inlineStr">
        <is>
          <t xml:space="preserve">OWNER CORRECTION: Owner 29 Sep: Sonop setup — the whole team worked to 14:00 (owner confirmed). 06:00–14:00 = 8 h × R95 = R760,00</t>
        </is>
      </c>
      <c r="U5" s="6"/>
    </row>
    <row r="6">
      <c r="A6" s="0">
        <v>9915</v>
      </c>
      <c r="B6" s="0" t="inlineStr">
        <is>
          <t xml:space="preserve">Bhekizitha Maphosa</t>
        </is>
      </c>
      <c r="C6" s="0" t="inlineStr">
        <is>
          <t xml:space="preserve">2026-09-27</t>
        </is>
      </c>
      <c r="D6" s="0" t="inlineStr">
        <is>
          <t xml:space="preserve">Sunday</t>
        </is>
      </c>
      <c r="F6" s="0" t="inlineStr">
        <is>
          <t xml:space="preserve">Sandton Convention Centre and The Capital</t>
        </is>
      </c>
      <c r="G6" s="0" t="inlineStr">
        <is>
          <t xml:space="preserve">Sandton</t>
        </is>
      </c>
      <c r="H6" s="0" t="inlineStr">
        <is>
          <t xml:space="preserve">Break down</t>
        </is>
      </c>
      <c r="I6" s="0" t="inlineStr">
        <is>
          <t xml:space="preserve">Normal</t>
        </is>
      </c>
      <c r="J6" s="0" t="inlineStr">
        <is>
          <t xml:space="preserve">07:00</t>
        </is>
      </c>
      <c r="K6" s="0" t="inlineStr">
        <is>
          <t xml:space="preserve">11:30</t>
        </is>
      </c>
      <c r="L6" s="9">
        <v>4.5</v>
      </c>
      <c r="M6" s="9">
        <v>4.5</v>
      </c>
      <c r="N6" s="6"/>
      <c r="O6" s="10">
        <f>IF(N6&lt;&gt;"",N6,M6)</f>
      </c>
      <c r="P6" s="4">
        <v>513</v>
      </c>
      <c r="Q6" s="7"/>
      <c r="R6" s="5">
        <f>IF(Q6&lt;&gt;"",Q6,IF(N6&lt;&gt;"",IF(M6&gt;0,ROUND(P6*N6/M6,2),0),P6))</f>
      </c>
      <c r="S6" s="9">
        <v>114</v>
      </c>
      <c r="T6" s="0" t="inlineStr">
        <is>
          <t xml:space="preserve">Venue/event Sunday: 4.5 h × R114 (R95 × 1.2)</t>
        </is>
      </c>
      <c r="U6" s="6"/>
    </row>
    <row r="7">
      <c r="A7" s="0">
        <v>9914</v>
      </c>
      <c r="B7" s="0" t="inlineStr">
        <is>
          <t xml:space="preserve">Bhekizitha Maphosa</t>
        </is>
      </c>
      <c r="C7" s="0" t="inlineStr">
        <is>
          <t xml:space="preserve">2026-09-28</t>
        </is>
      </c>
      <c r="D7" s="0" t="inlineStr">
        <is>
          <t xml:space="preserve">Monday</t>
        </is>
      </c>
      <c r="F7" s="0" t="inlineStr">
        <is>
          <t xml:space="preserve">Sonop Pretoria and Wanderers</t>
        </is>
      </c>
      <c r="G7" s="0" t="inlineStr">
        <is>
          <t xml:space="preserve">Pretoria and Johannesburg</t>
        </is>
      </c>
      <c r="H7" s="0" t="inlineStr">
        <is>
          <t xml:space="preserve">Break down</t>
        </is>
      </c>
      <c r="I7" s="0" t="inlineStr">
        <is>
          <t xml:space="preserve">Normal</t>
        </is>
      </c>
      <c r="J7" s="0" t="inlineStr">
        <is>
          <t xml:space="preserve">07:00</t>
        </is>
      </c>
      <c r="K7" s="0" t="inlineStr">
        <is>
          <t xml:space="preserve">16:00</t>
        </is>
      </c>
      <c r="L7" s="9">
        <v>9</v>
      </c>
      <c r="M7" s="9">
        <v>9</v>
      </c>
      <c r="N7" s="6"/>
      <c r="O7" s="10">
        <f>IF(N7&lt;&gt;"",N7,M7)</f>
      </c>
      <c r="P7" s="4">
        <v>855</v>
      </c>
      <c r="Q7" s="7"/>
      <c r="R7" s="5">
        <f>IF(Q7&lt;&gt;"",Q7,IF(N7&lt;&gt;"",IF(M7&gt;0,ROUND(P7*N7/M7,2),0),P7))</f>
      </c>
      <c r="S7" s="9">
        <v>95</v>
      </c>
      <c r="T7" s="0" t="inlineStr">
        <is>
          <t xml:space="preserve">Venue/event: 9 h × R95</t>
        </is>
      </c>
      <c r="U7" s="6"/>
    </row>
    <row r="8">
      <c r="A8" s="0">
        <v>9913</v>
      </c>
      <c r="B8" s="0" t="inlineStr">
        <is>
          <t xml:space="preserve">Bhekizitha Maphosa</t>
        </is>
      </c>
      <c r="C8" s="0" t="inlineStr">
        <is>
          <t xml:space="preserve">2026-09-29</t>
        </is>
      </c>
      <c r="D8" s="0" t="inlineStr">
        <is>
          <t xml:space="preserve">Tuesday</t>
        </is>
      </c>
      <c r="F8" s="0" t="inlineStr">
        <is>
          <t xml:space="preserve">Warehouse</t>
        </is>
      </c>
      <c r="G8" s="0" t="inlineStr">
        <is>
          <t xml:space="preserve">Henley on Klip, Meyerton</t>
        </is>
      </c>
      <c r="H8" s="0" t="inlineStr">
        <is>
          <t xml:space="preserve">Loading</t>
        </is>
      </c>
      <c r="I8" s="0" t="inlineStr">
        <is>
          <t xml:space="preserve">Normal</t>
        </is>
      </c>
      <c r="J8" s="0" t="inlineStr">
        <is>
          <t xml:space="preserve">07:00</t>
        </is>
      </c>
      <c r="K8" s="0" t="inlineStr">
        <is>
          <t xml:space="preserve">16:00</t>
        </is>
      </c>
      <c r="L8" s="9">
        <v>9</v>
      </c>
      <c r="M8" s="9">
        <v>9</v>
      </c>
      <c r="N8" s="6"/>
      <c r="O8" s="10">
        <f>IF(N8&lt;&gt;"",N8,M8)</f>
      </c>
      <c r="P8" s="4">
        <v>690.63</v>
      </c>
      <c r="Q8" s="7"/>
      <c r="R8" s="5">
        <f>IF(Q8&lt;&gt;"",Q8,IF(N8&lt;&gt;"",IF(M8&gt;0,ROUND(P8*N8/M8,2),0),P8))</f>
      </c>
      <c r="S8" s="9">
        <v>81.25</v>
      </c>
      <c r="T8" s="0" t="inlineStr">
        <is>
          <t xml:space="preserve">Warehouse: 9 h − 0.5 h staff meeting 07:00–07:30 (unpaid, R40,63) = 8.5 h × R81,25</t>
        </is>
      </c>
      <c r="U8" s="6"/>
      <c r="V8" s="0" t="inlineStr">
        <is>
          <t xml:space="preserve">#10246</t>
        </is>
      </c>
    </row>
    <row r="9">
      <c r="A9" s="0">
        <v>9912</v>
      </c>
      <c r="B9" s="0" t="inlineStr">
        <is>
          <t xml:space="preserve">Bhekizitha Maphosa</t>
        </is>
      </c>
      <c r="C9" s="0" t="inlineStr">
        <is>
          <t xml:space="preserve">2026-09-30</t>
        </is>
      </c>
      <c r="D9" s="0" t="inlineStr">
        <is>
          <t xml:space="preserve">Wednesday</t>
        </is>
      </c>
      <c r="F9" s="0" t="inlineStr">
        <is>
          <t xml:space="preserve">SunBet Arena Pretoria</t>
        </is>
      </c>
      <c r="G9" s="0" t="inlineStr">
        <is>
          <t xml:space="preserve">Pretoria</t>
        </is>
      </c>
      <c r="H9" s="0" t="inlineStr">
        <is>
          <t xml:space="preserve">Setup</t>
        </is>
      </c>
      <c r="I9" s="0" t="inlineStr">
        <is>
          <t xml:space="preserve">Normal</t>
        </is>
      </c>
      <c r="J9" s="0" t="inlineStr">
        <is>
          <t xml:space="preserve">07:00</t>
        </is>
      </c>
      <c r="K9" s="0" t="inlineStr">
        <is>
          <t xml:space="preserve">16:00</t>
        </is>
      </c>
      <c r="L9" s="9">
        <v>9</v>
      </c>
      <c r="M9" s="9">
        <v>9</v>
      </c>
      <c r="N9" s="6"/>
      <c r="O9" s="10">
        <f>IF(N9&lt;&gt;"",N9,M9)</f>
      </c>
      <c r="P9" s="4">
        <v>855</v>
      </c>
      <c r="Q9" s="7"/>
      <c r="R9" s="5">
        <f>IF(Q9&lt;&gt;"",Q9,IF(N9&lt;&gt;"",IF(M9&gt;0,ROUND(P9*N9/M9,2),0),P9))</f>
      </c>
      <c r="S9" s="9">
        <v>95</v>
      </c>
      <c r="T9" s="0" t="inlineStr">
        <is>
          <t xml:space="preserve">Venue/event: 9 h × R95</t>
        </is>
      </c>
      <c r="U9" s="6"/>
    </row>
    <row r="10">
      <c r="A10" s="0">
        <v>9911</v>
      </c>
      <c r="B10" s="0" t="inlineStr">
        <is>
          <t xml:space="preserve">Bhekizitha Maphosa</t>
        </is>
      </c>
      <c r="C10" s="0" t="inlineStr">
        <is>
          <t xml:space="preserve">2026-10-01</t>
        </is>
      </c>
      <c r="D10" s="0" t="inlineStr">
        <is>
          <t xml:space="preserve">Thursday</t>
        </is>
      </c>
      <c r="F10" s="0" t="inlineStr">
        <is>
          <t xml:space="preserve">Botanical garden Pretoria home coming</t>
        </is>
      </c>
      <c r="G10" s="0" t="inlineStr">
        <is>
          <t xml:space="preserve">Pretoria</t>
        </is>
      </c>
      <c r="H10" s="0" t="inlineStr">
        <is>
          <t xml:space="preserve">Setup</t>
        </is>
      </c>
      <c r="I10" s="0" t="inlineStr">
        <is>
          <t xml:space="preserve">Normal</t>
        </is>
      </c>
      <c r="J10" s="0" t="inlineStr">
        <is>
          <t xml:space="preserve">07:00</t>
        </is>
      </c>
      <c r="K10" s="0" t="inlineStr">
        <is>
          <t xml:space="preserve">16:00</t>
        </is>
      </c>
      <c r="L10" s="9">
        <v>9</v>
      </c>
      <c r="M10" s="9">
        <v>9</v>
      </c>
      <c r="N10" s="6"/>
      <c r="O10" s="10">
        <f>IF(N10&lt;&gt;"",N10,M10)</f>
      </c>
      <c r="P10" s="4">
        <v>855</v>
      </c>
      <c r="Q10" s="7"/>
      <c r="R10" s="5">
        <f>IF(Q10&lt;&gt;"",Q10,IF(N10&lt;&gt;"",IF(M10&gt;0,ROUND(P10*N10/M10,2),0),P10))</f>
      </c>
      <c r="S10" s="9">
        <v>95</v>
      </c>
      <c r="T10" s="0" t="inlineStr">
        <is>
          <t xml:space="preserve">Venue/event: 9 h × R95</t>
        </is>
      </c>
      <c r="U10" s="6"/>
    </row>
    <row r="11">
      <c r="A11" s="0">
        <v>9910</v>
      </c>
      <c r="B11" s="0" t="inlineStr">
        <is>
          <t xml:space="preserve">Bhekizitha Maphosa</t>
        </is>
      </c>
      <c r="C11" s="0" t="inlineStr">
        <is>
          <t xml:space="preserve">2026-10-02</t>
        </is>
      </c>
      <c r="D11" s="0" t="inlineStr">
        <is>
          <t xml:space="preserve">Friday</t>
        </is>
      </c>
      <c r="F11" s="0" t="inlineStr">
        <is>
          <t xml:space="preserve">Cielo restaurant</t>
        </is>
      </c>
      <c r="G11" s="0" t="inlineStr">
        <is>
          <t xml:space="preserve">Benoni</t>
        </is>
      </c>
      <c r="H11" s="0" t="inlineStr">
        <is>
          <t xml:space="preserve">Setup</t>
        </is>
      </c>
      <c r="I11" s="0" t="inlineStr">
        <is>
          <t xml:space="preserve">Normal</t>
        </is>
      </c>
      <c r="J11" s="0" t="inlineStr">
        <is>
          <t xml:space="preserve">07:00</t>
        </is>
      </c>
      <c r="K11" s="0" t="inlineStr">
        <is>
          <t xml:space="preserve">16:00</t>
        </is>
      </c>
      <c r="L11" s="9">
        <v>9</v>
      </c>
      <c r="M11" s="9">
        <v>9</v>
      </c>
      <c r="N11" s="6"/>
      <c r="O11" s="10">
        <f>IF(N11&lt;&gt;"",N11,M11)</f>
      </c>
      <c r="P11" s="4">
        <v>855</v>
      </c>
      <c r="Q11" s="7"/>
      <c r="R11" s="5">
        <f>IF(Q11&lt;&gt;"",Q11,IF(N11&lt;&gt;"",IF(M11&gt;0,ROUND(P11*N11/M11,2),0),P11))</f>
      </c>
      <c r="S11" s="9">
        <v>95</v>
      </c>
      <c r="T11" s="0" t="inlineStr">
        <is>
          <t xml:space="preserve">Venue/event: 9 h × R95</t>
        </is>
      </c>
      <c r="U11" s="6"/>
    </row>
    <row r="12">
      <c r="A12" s="0">
        <v>9897</v>
      </c>
      <c r="B12" s="0" t="inlineStr">
        <is>
          <t xml:space="preserve">Daniel Motaung</t>
        </is>
      </c>
      <c r="C12" s="0" t="inlineStr">
        <is>
          <t xml:space="preserve">2026-09-26</t>
        </is>
      </c>
      <c r="D12" s="0" t="inlineStr">
        <is>
          <t xml:space="preserve">Saturday</t>
        </is>
      </c>
      <c r="F12" s="0" t="inlineStr">
        <is>
          <t xml:space="preserve">Sonop Pretoria</t>
        </is>
      </c>
      <c r="G12" s="0" t="inlineStr">
        <is>
          <t xml:space="preserve">Pretoria</t>
        </is>
      </c>
      <c r="H12" s="0" t="inlineStr">
        <is>
          <t xml:space="preserve">Set Up</t>
        </is>
      </c>
      <c r="I12" s="0" t="inlineStr">
        <is>
          <t xml:space="preserve">Normal</t>
        </is>
      </c>
      <c r="J12" s="0" t="inlineStr">
        <is>
          <t xml:space="preserve">07:00</t>
        </is>
      </c>
      <c r="K12" s="0" t="inlineStr">
        <is>
          <t xml:space="preserve">13:00</t>
        </is>
      </c>
      <c r="L12" s="9">
        <v>6</v>
      </c>
      <c r="M12" s="9">
        <v>6</v>
      </c>
      <c r="N12" s="6"/>
      <c r="O12" s="10">
        <f>IF(N12&lt;&gt;"",N12,M12)</f>
      </c>
      <c r="P12" s="4">
        <v>570</v>
      </c>
      <c r="Q12" s="7"/>
      <c r="R12" s="5">
        <f>IF(Q12&lt;&gt;"",Q12,IF(N12&lt;&gt;"",IF(M12&gt;0,ROUND(P12*N12/M12,2),0),P12))</f>
      </c>
      <c r="S12" s="9">
        <v>95</v>
      </c>
      <c r="T12" s="0" t="inlineStr">
        <is>
          <t xml:space="preserve">OWNER CORRECTION: Owner 29 Sep (option B): Daniel was NOT on the Sonop team (only one starting 07:00; enters 07:00 on every shift). Back to what he entered: 07:00–13:00 = 6 h × R95 = R570,00. The 14:00 move was reversed.</t>
        </is>
      </c>
      <c r="U12" s="6"/>
    </row>
    <row r="13">
      <c r="A13" s="0">
        <v>9896</v>
      </c>
      <c r="B13" s="0" t="inlineStr">
        <is>
          <t xml:space="preserve">Daniel Motaung</t>
        </is>
      </c>
      <c r="C13" s="0" t="inlineStr">
        <is>
          <t xml:space="preserve">2026-09-28</t>
        </is>
      </c>
      <c r="D13" s="0" t="inlineStr">
        <is>
          <t xml:space="preserve">Monday</t>
        </is>
      </c>
      <c r="F13" s="0" t="inlineStr">
        <is>
          <t xml:space="preserve">Orlando stadium</t>
        </is>
      </c>
      <c r="G13" s="0" t="inlineStr">
        <is>
          <t xml:space="preserve">Johannesburg</t>
        </is>
      </c>
      <c r="H13" s="0" t="inlineStr">
        <is>
          <t xml:space="preserve">Breakdown</t>
        </is>
      </c>
      <c r="I13" s="0" t="inlineStr">
        <is>
          <t xml:space="preserve">Normal</t>
        </is>
      </c>
      <c r="J13" s="0" t="inlineStr">
        <is>
          <t xml:space="preserve">07:00</t>
        </is>
      </c>
      <c r="K13" s="0" t="inlineStr">
        <is>
          <t xml:space="preserve">16:00</t>
        </is>
      </c>
      <c r="L13" s="9">
        <v>9</v>
      </c>
      <c r="M13" s="9">
        <v>9</v>
      </c>
      <c r="N13" s="6"/>
      <c r="O13" s="10">
        <f>IF(N13&lt;&gt;"",N13,M13)</f>
      </c>
      <c r="P13" s="4">
        <v>855</v>
      </c>
      <c r="Q13" s="7"/>
      <c r="R13" s="5">
        <f>IF(Q13&lt;&gt;"",Q13,IF(N13&lt;&gt;"",IF(M13&gt;0,ROUND(P13*N13/M13,2),0),P13))</f>
      </c>
      <c r="S13" s="9">
        <v>95</v>
      </c>
      <c r="T13" s="0" t="inlineStr">
        <is>
          <t xml:space="preserve">Venue/event: 9 h × R95</t>
        </is>
      </c>
      <c r="U13" s="6"/>
    </row>
    <row r="14">
      <c r="A14" s="0">
        <v>9895</v>
      </c>
      <c r="B14" s="0" t="inlineStr">
        <is>
          <t xml:space="preserve">Daniel Motaung</t>
        </is>
      </c>
      <c r="C14" s="0" t="inlineStr">
        <is>
          <t xml:space="preserve">2026-09-29</t>
        </is>
      </c>
      <c r="D14" s="0" t="inlineStr">
        <is>
          <t xml:space="preserve">Tuesday</t>
        </is>
      </c>
      <c r="F14" s="0" t="inlineStr">
        <is>
          <t xml:space="preserve">Warehouse</t>
        </is>
      </c>
      <c r="G14" s="0" t="inlineStr">
        <is>
          <t xml:space="preserve">Henley on Klip</t>
        </is>
      </c>
      <c r="H14" s="0" t="inlineStr">
        <is>
          <t xml:space="preserve">Loading</t>
        </is>
      </c>
      <c r="I14" s="0" t="inlineStr">
        <is>
          <t xml:space="preserve">Normal</t>
        </is>
      </c>
      <c r="J14" s="0" t="inlineStr">
        <is>
          <t xml:space="preserve">07:00</t>
        </is>
      </c>
      <c r="K14" s="0" t="inlineStr">
        <is>
          <t xml:space="preserve">16:00</t>
        </is>
      </c>
      <c r="L14" s="9">
        <v>9</v>
      </c>
      <c r="M14" s="9">
        <v>9</v>
      </c>
      <c r="N14" s="6"/>
      <c r="O14" s="10">
        <f>IF(N14&lt;&gt;"",N14,M14)</f>
      </c>
      <c r="P14" s="4">
        <v>690.63</v>
      </c>
      <c r="Q14" s="7"/>
      <c r="R14" s="5">
        <f>IF(Q14&lt;&gt;"",Q14,IF(N14&lt;&gt;"",IF(M14&gt;0,ROUND(P14*N14/M14,2),0),P14))</f>
      </c>
      <c r="S14" s="9">
        <v>81.25</v>
      </c>
      <c r="T14" s="0" t="inlineStr">
        <is>
          <t xml:space="preserve">Warehouse: 9 h − 0.5 h staff meeting 07:00–07:30 (unpaid, R40,63) = 8.5 h × R81,25</t>
        </is>
      </c>
      <c r="U14" s="6"/>
      <c r="V14" s="0" t="inlineStr">
        <is>
          <t xml:space="preserve">#10221</t>
        </is>
      </c>
    </row>
    <row r="15">
      <c r="A15" s="0">
        <v>9894</v>
      </c>
      <c r="B15" s="0" t="inlineStr">
        <is>
          <t xml:space="preserve">Daniel Motaung</t>
        </is>
      </c>
      <c r="C15" s="0" t="inlineStr">
        <is>
          <t xml:space="preserve">2026-09-30</t>
        </is>
      </c>
      <c r="D15" s="0" t="inlineStr">
        <is>
          <t xml:space="preserve">Wednesday</t>
        </is>
      </c>
      <c r="F15" s="0" t="inlineStr">
        <is>
          <t xml:space="preserve">Sunbet arena</t>
        </is>
      </c>
      <c r="G15" s="0" t="inlineStr">
        <is>
          <t xml:space="preserve">Pretoria</t>
        </is>
      </c>
      <c r="H15" s="0" t="inlineStr">
        <is>
          <t xml:space="preserve">Setup</t>
        </is>
      </c>
      <c r="I15" s="0" t="inlineStr">
        <is>
          <t xml:space="preserve">Normal</t>
        </is>
      </c>
      <c r="J15" s="0" t="inlineStr">
        <is>
          <t xml:space="preserve">07:00</t>
        </is>
      </c>
      <c r="K15" s="0" t="inlineStr">
        <is>
          <t xml:space="preserve">16:00</t>
        </is>
      </c>
      <c r="L15" s="9">
        <v>9</v>
      </c>
      <c r="M15" s="9">
        <v>9</v>
      </c>
      <c r="N15" s="6"/>
      <c r="O15" s="10">
        <f>IF(N15&lt;&gt;"",N15,M15)</f>
      </c>
      <c r="P15" s="4">
        <v>855</v>
      </c>
      <c r="Q15" s="7"/>
      <c r="R15" s="5">
        <f>IF(Q15&lt;&gt;"",Q15,IF(N15&lt;&gt;"",IF(M15&gt;0,ROUND(P15*N15/M15,2),0),P15))</f>
      </c>
      <c r="S15" s="9">
        <v>95</v>
      </c>
      <c r="T15" s="0" t="inlineStr">
        <is>
          <t xml:space="preserve">Venue/event: 9 h × R95</t>
        </is>
      </c>
      <c r="U15" s="6"/>
    </row>
    <row r="16">
      <c r="A16" s="0">
        <v>9893</v>
      </c>
      <c r="B16" s="0" t="inlineStr">
        <is>
          <t xml:space="preserve">Daniel Motaung</t>
        </is>
      </c>
      <c r="C16" s="0" t="inlineStr">
        <is>
          <t xml:space="preserve">2026-10-01</t>
        </is>
      </c>
      <c r="D16" s="0" t="inlineStr">
        <is>
          <t xml:space="preserve">Thursday</t>
        </is>
      </c>
      <c r="F16" s="0" t="inlineStr">
        <is>
          <t xml:space="preserve">Botanical Gardens</t>
        </is>
      </c>
      <c r="G16" s="0" t="inlineStr">
        <is>
          <t xml:space="preserve">Pretoria</t>
        </is>
      </c>
      <c r="H16" s="0" t="inlineStr">
        <is>
          <t xml:space="preserve">Setup</t>
        </is>
      </c>
      <c r="I16" s="0" t="inlineStr">
        <is>
          <t xml:space="preserve">Normal</t>
        </is>
      </c>
      <c r="J16" s="0" t="inlineStr">
        <is>
          <t xml:space="preserve">07:00</t>
        </is>
      </c>
      <c r="K16" s="0" t="inlineStr">
        <is>
          <t xml:space="preserve">16:00</t>
        </is>
      </c>
      <c r="L16" s="9">
        <v>9</v>
      </c>
      <c r="M16" s="9">
        <v>9</v>
      </c>
      <c r="N16" s="6"/>
      <c r="O16" s="10">
        <f>IF(N16&lt;&gt;"",N16,M16)</f>
      </c>
      <c r="P16" s="4">
        <v>855</v>
      </c>
      <c r="Q16" s="7"/>
      <c r="R16" s="5">
        <f>IF(Q16&lt;&gt;"",Q16,IF(N16&lt;&gt;"",IF(M16&gt;0,ROUND(P16*N16/M16,2),0),P16))</f>
      </c>
      <c r="S16" s="9">
        <v>95</v>
      </c>
      <c r="T16" s="0" t="inlineStr">
        <is>
          <t xml:space="preserve">Venue/event: 9 h × R95</t>
        </is>
      </c>
      <c r="U16" s="6"/>
    </row>
    <row r="17">
      <c r="A17" s="0">
        <v>9892</v>
      </c>
      <c r="B17" s="0" t="inlineStr">
        <is>
          <t xml:space="preserve">Daniel Motaung</t>
        </is>
      </c>
      <c r="C17" s="0" t="inlineStr">
        <is>
          <t xml:space="preserve">2026-10-02</t>
        </is>
      </c>
      <c r="D17" s="0" t="inlineStr">
        <is>
          <t xml:space="preserve">Friday</t>
        </is>
      </c>
      <c r="F17" s="0" t="inlineStr">
        <is>
          <t xml:space="preserve">Benoni</t>
        </is>
      </c>
      <c r="G17" s="0" t="inlineStr">
        <is>
          <t xml:space="preserve">Johannesburg</t>
        </is>
      </c>
      <c r="H17" s="0" t="inlineStr">
        <is>
          <t xml:space="preserve">Setup</t>
        </is>
      </c>
      <c r="I17" s="0" t="inlineStr">
        <is>
          <t xml:space="preserve">Normal</t>
        </is>
      </c>
      <c r="J17" s="0" t="inlineStr">
        <is>
          <t xml:space="preserve">07:00</t>
        </is>
      </c>
      <c r="K17" s="0" t="inlineStr">
        <is>
          <t xml:space="preserve">16:00</t>
        </is>
      </c>
      <c r="L17" s="9">
        <v>9</v>
      </c>
      <c r="M17" s="9">
        <v>9</v>
      </c>
      <c r="N17" s="6"/>
      <c r="O17" s="10">
        <f>IF(N17&lt;&gt;"",N17,M17)</f>
      </c>
      <c r="P17" s="4">
        <v>855</v>
      </c>
      <c r="Q17" s="7"/>
      <c r="R17" s="5">
        <f>IF(Q17&lt;&gt;"",Q17,IF(N17&lt;&gt;"",IF(M17&gt;0,ROUND(P17*N17/M17,2),0),P17))</f>
      </c>
      <c r="S17" s="9">
        <v>95</v>
      </c>
      <c r="T17" s="0" t="inlineStr">
        <is>
          <t xml:space="preserve">Venue/event: 9 h × R95</t>
        </is>
      </c>
      <c r="U17" s="6"/>
    </row>
    <row r="18">
      <c r="A18" s="0">
        <v>9888</v>
      </c>
      <c r="B18" s="0" t="inlineStr">
        <is>
          <t xml:space="preserve">Erence Mngomezulu</t>
        </is>
      </c>
      <c r="C18" s="0" t="inlineStr">
        <is>
          <t xml:space="preserve">2026-09-25</t>
        </is>
      </c>
      <c r="D18" s="0" t="inlineStr">
        <is>
          <t xml:space="preserve">Friday</t>
        </is>
      </c>
      <c r="E18" s="0" t="inlineStr">
        <is>
          <t xml:space="preserve">YES</t>
        </is>
      </c>
      <c r="F18" s="0" t="inlineStr">
        <is>
          <t xml:space="preserve">Pretoria country club</t>
        </is>
      </c>
      <c r="G18" s="0" t="inlineStr">
        <is>
          <t xml:space="preserve">Pretoria</t>
        </is>
      </c>
      <c r="H18" s="0" t="inlineStr">
        <is>
          <t xml:space="preserve">Setup</t>
        </is>
      </c>
      <c r="I18" s="0" t="inlineStr">
        <is>
          <t xml:space="preserve">Normal</t>
        </is>
      </c>
      <c r="J18" s="0" t="inlineStr">
        <is>
          <t xml:space="preserve">05:00</t>
        </is>
      </c>
      <c r="K18" s="0" t="inlineStr">
        <is>
          <t xml:space="preserve">07:00</t>
        </is>
      </c>
      <c r="L18" s="9">
        <v>2</v>
      </c>
      <c r="M18" s="9">
        <v>2</v>
      </c>
      <c r="N18" s="6"/>
      <c r="O18" s="10">
        <f>IF(N18&lt;&gt;"",N18,M18)</f>
      </c>
      <c r="P18" s="4">
        <v>190</v>
      </c>
      <c r="Q18" s="7"/>
      <c r="R18" s="5">
        <f>IF(Q18&lt;&gt;"",Q18,IF(N18&lt;&gt;"",IF(M18&gt;0,ROUND(P18*N18/M18,2),0),P18))</f>
      </c>
      <c r="S18" s="9">
        <v>95</v>
      </c>
      <c r="T18" s="0" t="inlineStr">
        <is>
          <t xml:space="preserve">Venue/event: 2 h × R95</t>
        </is>
      </c>
      <c r="U18" s="6"/>
      <c r="W18" s="0" t="inlineStr">
        <is>
          <t xml:space="preserve">CLEAR: worked 07:00–16:00 that day (paid in payroll n/a); these hours are outside those times.</t>
        </is>
      </c>
      <c r="X18" s="0" t="inlineStr">
        <is>
          <t xml:space="preserve">No review needed</t>
        </is>
      </c>
    </row>
    <row r="19">
      <c r="A19" s="0">
        <v>9889</v>
      </c>
      <c r="B19" s="0" t="inlineStr">
        <is>
          <t xml:space="preserve">Erence Mngomezulu</t>
        </is>
      </c>
      <c r="C19" s="0" t="inlineStr">
        <is>
          <t xml:space="preserve">2026-09-25</t>
        </is>
      </c>
      <c r="D19" s="0" t="inlineStr">
        <is>
          <t xml:space="preserve">Friday</t>
        </is>
      </c>
      <c r="E19" s="0" t="inlineStr">
        <is>
          <t xml:space="preserve">YES</t>
        </is>
      </c>
      <c r="F19" s="0" t="inlineStr">
        <is>
          <t xml:space="preserve">Pretoria country club</t>
        </is>
      </c>
      <c r="G19" s="0" t="inlineStr">
        <is>
          <t xml:space="preserve">Pretoria</t>
        </is>
      </c>
      <c r="H19" s="0" t="inlineStr">
        <is>
          <t xml:space="preserve">Strike down</t>
        </is>
      </c>
      <c r="I19" s="0" t="inlineStr">
        <is>
          <t xml:space="preserve">Normal</t>
        </is>
      </c>
      <c r="J19" s="0" t="inlineStr">
        <is>
          <t xml:space="preserve">16:00</t>
        </is>
      </c>
      <c r="K19" s="0" t="inlineStr">
        <is>
          <t xml:space="preserve">19:00</t>
        </is>
      </c>
      <c r="L19" s="9">
        <v>3</v>
      </c>
      <c r="M19" s="9">
        <v>3</v>
      </c>
      <c r="N19" s="6"/>
      <c r="O19" s="10">
        <f>IF(N19&lt;&gt;"",N19,M19)</f>
      </c>
      <c r="P19" s="4">
        <v>285</v>
      </c>
      <c r="Q19" s="7"/>
      <c r="R19" s="5">
        <f>IF(Q19&lt;&gt;"",Q19,IF(N19&lt;&gt;"",IF(M19&gt;0,ROUND(P19*N19/M19,2),0),P19))</f>
      </c>
      <c r="S19" s="9">
        <v>95</v>
      </c>
      <c r="T19" s="0" t="inlineStr">
        <is>
          <t xml:space="preserve">Venue/event: 3 h × R95</t>
        </is>
      </c>
      <c r="U19" s="6"/>
      <c r="W19" s="0" t="inlineStr">
        <is>
          <t xml:space="preserve">CLEAR: worked 07:00–16:00 that day (paid in payroll n/a); these hours are outside those times.</t>
        </is>
      </c>
      <c r="X19" s="0" t="inlineStr">
        <is>
          <t xml:space="preserve">No review needed</t>
        </is>
      </c>
    </row>
    <row r="20">
      <c r="A20" s="0">
        <v>9887</v>
      </c>
      <c r="B20" s="0" t="inlineStr">
        <is>
          <t xml:space="preserve">Erence Mngomezulu</t>
        </is>
      </c>
      <c r="C20" s="0" t="inlineStr">
        <is>
          <t xml:space="preserve">2026-09-26</t>
        </is>
      </c>
      <c r="D20" s="0" t="inlineStr">
        <is>
          <t xml:space="preserve">Saturday</t>
        </is>
      </c>
      <c r="F20" s="0" t="inlineStr">
        <is>
          <t xml:space="preserve">92 Murray street Brooklyn Pretoria</t>
        </is>
      </c>
      <c r="G20" s="0" t="inlineStr">
        <is>
          <t xml:space="preserve">Pretoria</t>
        </is>
      </c>
      <c r="H20" s="0" t="inlineStr">
        <is>
          <t xml:space="preserve">Setup</t>
        </is>
      </c>
      <c r="I20" s="0" t="inlineStr">
        <is>
          <t xml:space="preserve">Normal</t>
        </is>
      </c>
      <c r="J20" s="0" t="inlineStr">
        <is>
          <t xml:space="preserve">06:00</t>
        </is>
      </c>
      <c r="K20" s="0" t="inlineStr">
        <is>
          <t xml:space="preserve">07:00</t>
        </is>
      </c>
      <c r="L20" s="9">
        <v>1</v>
      </c>
      <c r="M20" s="9">
        <v>1</v>
      </c>
      <c r="N20" s="6"/>
      <c r="O20" s="10">
        <f>IF(N20&lt;&gt;"",N20,M20)</f>
      </c>
      <c r="P20" s="4">
        <v>95</v>
      </c>
      <c r="Q20" s="7"/>
      <c r="R20" s="5">
        <f>IF(Q20&lt;&gt;"",Q20,IF(N20&lt;&gt;"",IF(M20&gt;0,ROUND(P20*N20/M20,2),0),P20))</f>
      </c>
      <c r="S20" s="9">
        <v>95</v>
      </c>
      <c r="T20" s="0" t="inlineStr">
        <is>
          <t xml:space="preserve">Venue/event: 1 h × R95</t>
        </is>
      </c>
      <c r="U20" s="6"/>
    </row>
    <row r="21">
      <c r="A21" s="0">
        <v>9886</v>
      </c>
      <c r="B21" s="0" t="inlineStr">
        <is>
          <t xml:space="preserve">Erence Mngomezulu</t>
        </is>
      </c>
      <c r="C21" s="0" t="inlineStr">
        <is>
          <t xml:space="preserve">2026-09-26</t>
        </is>
      </c>
      <c r="D21" s="0" t="inlineStr">
        <is>
          <t xml:space="preserve">Saturday</t>
        </is>
      </c>
      <c r="F21" s="0" t="inlineStr">
        <is>
          <t xml:space="preserve">92 Murray street Brooklyn Pretoria</t>
        </is>
      </c>
      <c r="G21" s="0" t="inlineStr">
        <is>
          <t xml:space="preserve">Pretoria</t>
        </is>
      </c>
      <c r="H21" s="0" t="inlineStr">
        <is>
          <t xml:space="preserve">Setup</t>
        </is>
      </c>
      <c r="I21" s="0" t="inlineStr">
        <is>
          <t xml:space="preserve">Normal</t>
        </is>
      </c>
      <c r="J21" s="0" t="inlineStr">
        <is>
          <t xml:space="preserve">07:00</t>
        </is>
      </c>
      <c r="K21" s="0" t="inlineStr">
        <is>
          <t xml:space="preserve">14:00</t>
        </is>
      </c>
      <c r="L21" s="9">
        <v>7</v>
      </c>
      <c r="M21" s="9">
        <v>7</v>
      </c>
      <c r="N21" s="6"/>
      <c r="O21" s="10">
        <f>IF(N21&lt;&gt;"",N21,M21)</f>
      </c>
      <c r="P21" s="4">
        <v>665</v>
      </c>
      <c r="Q21" s="7"/>
      <c r="R21" s="5">
        <f>IF(Q21&lt;&gt;"",Q21,IF(N21&lt;&gt;"",IF(M21&gt;0,ROUND(P21*N21/M21,2),0),P21))</f>
      </c>
      <c r="S21" s="9">
        <v>95</v>
      </c>
      <c r="T21" s="0" t="inlineStr">
        <is>
          <t xml:space="preserve">OWNER CORRECTION: Owner 29 Sep 2026: 14:00 finish ACCEPTED (option B) — Erence at Sonop / 92 Murray St Brooklyn with Solomon's team; owner accepts he stayed to 14:00. 8 h total with #9887 = R760.</t>
        </is>
      </c>
      <c r="U21" s="6"/>
    </row>
    <row r="22">
      <c r="A22" s="0">
        <v>9885</v>
      </c>
      <c r="B22" s="0" t="inlineStr">
        <is>
          <t xml:space="preserve">Erence Mngomezulu</t>
        </is>
      </c>
      <c r="C22" s="0" t="inlineStr">
        <is>
          <t xml:space="preserve">2026-09-27</t>
        </is>
      </c>
      <c r="D22" s="0" t="inlineStr">
        <is>
          <t xml:space="preserve">Sunday</t>
        </is>
      </c>
      <c r="F22" s="0" t="inlineStr">
        <is>
          <t xml:space="preserve">Warehouse</t>
        </is>
      </c>
      <c r="G22" s="0" t="inlineStr">
        <is>
          <t xml:space="preserve">Meyerton</t>
        </is>
      </c>
      <c r="H22" s="0" t="inlineStr">
        <is>
          <t xml:space="preserve">Loading/offloading/cleaning and packing</t>
        </is>
      </c>
      <c r="I22" s="0" t="inlineStr">
        <is>
          <t xml:space="preserve">Normal</t>
        </is>
      </c>
      <c r="J22" s="0" t="inlineStr">
        <is>
          <t xml:space="preserve">07:00</t>
        </is>
      </c>
      <c r="K22" s="0" t="inlineStr">
        <is>
          <t xml:space="preserve">11:00</t>
        </is>
      </c>
      <c r="L22" s="9">
        <v>4</v>
      </c>
      <c r="M22" s="9">
        <v>4</v>
      </c>
      <c r="N22" s="6"/>
      <c r="O22" s="10">
        <f>IF(N22&lt;&gt;"",N22,M22)</f>
      </c>
      <c r="P22" s="4">
        <v>456</v>
      </c>
      <c r="Q22" s="7"/>
      <c r="R22" s="5">
        <f>IF(Q22&lt;&gt;"",Q22,IF(N22&lt;&gt;"",IF(M22&gt;0,ROUND(P22*N22/M22,2),0),P22))</f>
      </c>
      <c r="S22" s="9">
        <v>114</v>
      </c>
      <c r="T22" s="0" t="inlineStr">
        <is>
          <t xml:space="preserve">Venue/event Sunday: 4 h × R114 (R95 × 1.2)</t>
        </is>
      </c>
      <c r="U22" s="6"/>
    </row>
    <row r="23">
      <c r="A23" s="0">
        <v>9884</v>
      </c>
      <c r="B23" s="0" t="inlineStr">
        <is>
          <t xml:space="preserve">Erence Mngomezulu</t>
        </is>
      </c>
      <c r="C23" s="0" t="inlineStr">
        <is>
          <t xml:space="preserve">2026-09-28</t>
        </is>
      </c>
      <c r="D23" s="0" t="inlineStr">
        <is>
          <t xml:space="preserve">Monday</t>
        </is>
      </c>
      <c r="F23" s="0" t="inlineStr">
        <is>
          <t xml:space="preserve">Wanderers &gt;&gt;&gt; 96 Murray street Brooklyn Pretoria</t>
        </is>
      </c>
      <c r="G23" s="0" t="inlineStr">
        <is>
          <t xml:space="preserve">Pretoria</t>
        </is>
      </c>
      <c r="H23" s="0" t="inlineStr">
        <is>
          <t xml:space="preserve">Strike down</t>
        </is>
      </c>
      <c r="I23" s="0" t="inlineStr">
        <is>
          <t xml:space="preserve">Normal</t>
        </is>
      </c>
      <c r="J23" s="0" t="inlineStr">
        <is>
          <t xml:space="preserve">07:00</t>
        </is>
      </c>
      <c r="K23" s="0" t="inlineStr">
        <is>
          <t xml:space="preserve">16:00</t>
        </is>
      </c>
      <c r="L23" s="9">
        <v>9</v>
      </c>
      <c r="M23" s="9">
        <v>9</v>
      </c>
      <c r="N23" s="6"/>
      <c r="O23" s="10">
        <f>IF(N23&lt;&gt;"",N23,M23)</f>
      </c>
      <c r="P23" s="4">
        <v>855</v>
      </c>
      <c r="Q23" s="7"/>
      <c r="R23" s="5">
        <f>IF(Q23&lt;&gt;"",Q23,IF(N23&lt;&gt;"",IF(M23&gt;0,ROUND(P23*N23/M23,2),0),P23))</f>
      </c>
      <c r="S23" s="9">
        <v>95</v>
      </c>
      <c r="T23" s="0" t="inlineStr">
        <is>
          <t xml:space="preserve">Venue/event: 9 h × R95</t>
        </is>
      </c>
      <c r="U23" s="6"/>
    </row>
    <row r="24">
      <c r="A24" s="0">
        <v>9883</v>
      </c>
      <c r="B24" s="0" t="inlineStr">
        <is>
          <t xml:space="preserve">Erence Mngomezulu</t>
        </is>
      </c>
      <c r="C24" s="0" t="inlineStr">
        <is>
          <t xml:space="preserve">2026-09-29</t>
        </is>
      </c>
      <c r="D24" s="0" t="inlineStr">
        <is>
          <t xml:space="preserve">Tuesday</t>
        </is>
      </c>
      <c r="F24" s="0" t="inlineStr">
        <is>
          <t xml:space="preserve">Warehouse</t>
        </is>
      </c>
      <c r="G24" s="0" t="inlineStr">
        <is>
          <t xml:space="preserve">Meyerton</t>
        </is>
      </c>
      <c r="H24" s="0" t="inlineStr">
        <is>
          <t xml:space="preserve">Loading/offloading/cleaning and packing</t>
        </is>
      </c>
      <c r="I24" s="0" t="inlineStr">
        <is>
          <t xml:space="preserve">Normal</t>
        </is>
      </c>
      <c r="J24" s="0" t="inlineStr">
        <is>
          <t xml:space="preserve">07:00</t>
        </is>
      </c>
      <c r="K24" s="0" t="inlineStr">
        <is>
          <t xml:space="preserve">16:00</t>
        </is>
      </c>
      <c r="L24" s="9">
        <v>9</v>
      </c>
      <c r="M24" s="9">
        <v>9</v>
      </c>
      <c r="N24" s="6"/>
      <c r="O24" s="10">
        <f>IF(N24&lt;&gt;"",N24,M24)</f>
      </c>
      <c r="P24" s="4">
        <v>690.63</v>
      </c>
      <c r="Q24" s="7"/>
      <c r="R24" s="5">
        <f>IF(Q24&lt;&gt;"",Q24,IF(N24&lt;&gt;"",IF(M24&gt;0,ROUND(P24*N24/M24,2),0),P24))</f>
      </c>
      <c r="S24" s="9">
        <v>81.25</v>
      </c>
      <c r="T24" s="0" t="inlineStr">
        <is>
          <t xml:space="preserve">Warehouse: 9 h − 0.5 h staff meeting 07:00–07:30 (unpaid, R40,63) = 8.5 h × R81,25</t>
        </is>
      </c>
      <c r="U24" s="6"/>
      <c r="V24" s="0" t="inlineStr">
        <is>
          <t xml:space="preserve">#10206</t>
        </is>
      </c>
    </row>
    <row r="25">
      <c r="A25" s="0">
        <v>9882</v>
      </c>
      <c r="B25" s="0" t="inlineStr">
        <is>
          <t xml:space="preserve">Erence Mngomezulu</t>
        </is>
      </c>
      <c r="C25" s="0" t="inlineStr">
        <is>
          <t xml:space="preserve">2026-09-30</t>
        </is>
      </c>
      <c r="D25" s="0" t="inlineStr">
        <is>
          <t xml:space="preserve">Wednesday</t>
        </is>
      </c>
      <c r="F25" s="0" t="inlineStr">
        <is>
          <t xml:space="preserve">Sunbet arena</t>
        </is>
      </c>
      <c r="G25" s="0" t="inlineStr">
        <is>
          <t xml:space="preserve">Menlyn Pretoria</t>
        </is>
      </c>
      <c r="H25" s="0" t="inlineStr">
        <is>
          <t xml:space="preserve">Setup</t>
        </is>
      </c>
      <c r="I25" s="0" t="inlineStr">
        <is>
          <t xml:space="preserve">Normal</t>
        </is>
      </c>
      <c r="J25" s="0" t="inlineStr">
        <is>
          <t xml:space="preserve">07:00</t>
        </is>
      </c>
      <c r="K25" s="0" t="inlineStr">
        <is>
          <t xml:space="preserve">16:00</t>
        </is>
      </c>
      <c r="L25" s="9">
        <v>9</v>
      </c>
      <c r="M25" s="9">
        <v>9</v>
      </c>
      <c r="N25" s="6"/>
      <c r="O25" s="10">
        <f>IF(N25&lt;&gt;"",N25,M25)</f>
      </c>
      <c r="P25" s="4">
        <v>855</v>
      </c>
      <c r="Q25" s="7"/>
      <c r="R25" s="5">
        <f>IF(Q25&lt;&gt;"",Q25,IF(N25&lt;&gt;"",IF(M25&gt;0,ROUND(P25*N25/M25,2),0),P25))</f>
      </c>
      <c r="S25" s="9">
        <v>95</v>
      </c>
      <c r="T25" s="0" t="inlineStr">
        <is>
          <t xml:space="preserve">Venue/event: 9 h × R95</t>
        </is>
      </c>
      <c r="U25" s="6"/>
    </row>
    <row r="26">
      <c r="A26" s="0">
        <v>9881</v>
      </c>
      <c r="B26" s="0" t="inlineStr">
        <is>
          <t xml:space="preserve">Erence Mngomezulu</t>
        </is>
      </c>
      <c r="C26" s="0" t="inlineStr">
        <is>
          <t xml:space="preserve">2026-10-01</t>
        </is>
      </c>
      <c r="D26" s="0" t="inlineStr">
        <is>
          <t xml:space="preserve">Thursday</t>
        </is>
      </c>
      <c r="F26" s="0" t="inlineStr">
        <is>
          <t xml:space="preserve">Homecoming</t>
        </is>
      </c>
      <c r="G26" s="0" t="inlineStr">
        <is>
          <t xml:space="preserve">Johannesburg</t>
        </is>
      </c>
      <c r="H26" s="0" t="inlineStr">
        <is>
          <t xml:space="preserve">Setup</t>
        </is>
      </c>
      <c r="I26" s="0" t="inlineStr">
        <is>
          <t xml:space="preserve">Normal</t>
        </is>
      </c>
      <c r="J26" s="0" t="inlineStr">
        <is>
          <t xml:space="preserve">07:00</t>
        </is>
      </c>
      <c r="K26" s="0" t="inlineStr">
        <is>
          <t xml:space="preserve">16:00</t>
        </is>
      </c>
      <c r="L26" s="9">
        <v>9</v>
      </c>
      <c r="M26" s="9">
        <v>9</v>
      </c>
      <c r="N26" s="6"/>
      <c r="O26" s="10">
        <f>IF(N26&lt;&gt;"",N26,M26)</f>
      </c>
      <c r="P26" s="4">
        <v>855</v>
      </c>
      <c r="Q26" s="7"/>
      <c r="R26" s="5">
        <f>IF(Q26&lt;&gt;"",Q26,IF(N26&lt;&gt;"",IF(M26&gt;0,ROUND(P26*N26/M26,2),0),P26))</f>
      </c>
      <c r="S26" s="9">
        <v>95</v>
      </c>
      <c r="T26" s="0" t="inlineStr">
        <is>
          <t xml:space="preserve">Venue/event: 9 h × R95</t>
        </is>
      </c>
      <c r="U26" s="6"/>
    </row>
    <row r="27">
      <c r="A27" s="0">
        <v>9880</v>
      </c>
      <c r="B27" s="0" t="inlineStr">
        <is>
          <t xml:space="preserve">Erence Mngomezulu</t>
        </is>
      </c>
      <c r="C27" s="0" t="inlineStr">
        <is>
          <t xml:space="preserve">2026-10-02</t>
        </is>
      </c>
      <c r="D27" s="0" t="inlineStr">
        <is>
          <t xml:space="preserve">Friday</t>
        </is>
      </c>
      <c r="F27" s="0" t="inlineStr">
        <is>
          <t xml:space="preserve">Cielo</t>
        </is>
      </c>
      <c r="G27" s="0" t="inlineStr">
        <is>
          <t xml:space="preserve">Johannesburg</t>
        </is>
      </c>
      <c r="H27" s="0" t="inlineStr">
        <is>
          <t xml:space="preserve">Setup</t>
        </is>
      </c>
      <c r="I27" s="0" t="inlineStr">
        <is>
          <t xml:space="preserve">Normal</t>
        </is>
      </c>
      <c r="J27" s="0" t="inlineStr">
        <is>
          <t xml:space="preserve">07:00</t>
        </is>
      </c>
      <c r="K27" s="0" t="inlineStr">
        <is>
          <t xml:space="preserve">16:00</t>
        </is>
      </c>
      <c r="L27" s="9">
        <v>9</v>
      </c>
      <c r="M27" s="9">
        <v>9</v>
      </c>
      <c r="N27" s="6"/>
      <c r="O27" s="10">
        <f>IF(N27&lt;&gt;"",N27,M27)</f>
      </c>
      <c r="P27" s="4">
        <v>855</v>
      </c>
      <c r="Q27" s="7"/>
      <c r="R27" s="5">
        <f>IF(Q27&lt;&gt;"",Q27,IF(N27&lt;&gt;"",IF(M27&gt;0,ROUND(P27*N27/M27,2),0),P27))</f>
      </c>
      <c r="S27" s="9">
        <v>95</v>
      </c>
      <c r="T27" s="0" t="inlineStr">
        <is>
          <t xml:space="preserve">Venue/event: 9 h × R95</t>
        </is>
      </c>
      <c r="U27" s="6"/>
    </row>
    <row r="28">
      <c r="A28" s="0">
        <v>9924</v>
      </c>
      <c r="B28" s="0" t="inlineStr">
        <is>
          <t xml:space="preserve">Erick Mpho Molefe</t>
        </is>
      </c>
      <c r="C28" s="0" t="inlineStr">
        <is>
          <t xml:space="preserve">2026-09-26</t>
        </is>
      </c>
      <c r="D28" s="0" t="inlineStr">
        <is>
          <t xml:space="preserve">Saturday</t>
        </is>
      </c>
      <c r="F28" s="0" t="inlineStr">
        <is>
          <t xml:space="preserve">Sonop</t>
        </is>
      </c>
      <c r="G28" s="0" t="inlineStr">
        <is>
          <t xml:space="preserve">pretoria</t>
        </is>
      </c>
      <c r="H28" s="0" t="inlineStr">
        <is>
          <t xml:space="preserve">Set up</t>
        </is>
      </c>
      <c r="I28" s="0" t="inlineStr">
        <is>
          <t xml:space="preserve">Normal</t>
        </is>
      </c>
      <c r="J28" s="0" t="inlineStr">
        <is>
          <t xml:space="preserve">07:00</t>
        </is>
      </c>
      <c r="K28" s="0" t="inlineStr">
        <is>
          <t xml:space="preserve">13:00</t>
        </is>
      </c>
      <c r="L28" s="9">
        <v>6</v>
      </c>
      <c r="M28" s="9">
        <v>6</v>
      </c>
      <c r="N28" s="6"/>
      <c r="O28" s="10">
        <f>IF(N28&lt;&gt;"",N28,M28)</f>
      </c>
      <c r="P28" s="4">
        <v>570</v>
      </c>
      <c r="Q28" s="7"/>
      <c r="R28" s="5">
        <f>IF(Q28&lt;&gt;"",Q28,IF(N28&lt;&gt;"",IF(M28&gt;0,ROUND(P28*N28/M28,2),0),P28))</f>
      </c>
      <c r="S28" s="9">
        <v>95</v>
      </c>
      <c r="T28" s="0" t="inlineStr">
        <is>
          <t xml:space="preserve">OWNER CORRECTION: Owner 30 Sep 2026: Erick was NOT on the Sonop team (Sonop team = Solomon, Bhekizitha, Lebo, Thandanani, Erence). Everybody else finished 13:00 on Sat 26 Sep. Erick wrote 07:00–16:00 (entered Wed 30 Sep 05:19); paid 07:00–13:00 = 6 h × R95 = R570. Same as Daniel.</t>
        </is>
      </c>
      <c r="U28" s="6"/>
    </row>
    <row r="29">
      <c r="A29" s="0">
        <v>9946</v>
      </c>
      <c r="B29" s="0" t="inlineStr">
        <is>
          <t xml:space="preserve">Erick Mpho Molefe</t>
        </is>
      </c>
      <c r="C29" s="0" t="inlineStr">
        <is>
          <t xml:space="preserve">2026-09-27</t>
        </is>
      </c>
      <c r="D29" s="0" t="inlineStr">
        <is>
          <t xml:space="preserve">Sunday</t>
        </is>
      </c>
      <c r="F29" s="0" t="inlineStr">
        <is>
          <t xml:space="preserve">Sandton convention centre</t>
        </is>
      </c>
      <c r="G29" s="0" t="inlineStr">
        <is>
          <t xml:space="preserve">sandton</t>
        </is>
      </c>
      <c r="H29" s="0" t="inlineStr">
        <is>
          <t xml:space="preserve">strike down</t>
        </is>
      </c>
      <c r="I29" s="0" t="inlineStr">
        <is>
          <t xml:space="preserve">Normal</t>
        </is>
      </c>
      <c r="J29" s="0" t="inlineStr">
        <is>
          <t xml:space="preserve">07:00</t>
        </is>
      </c>
      <c r="K29" s="0" t="inlineStr">
        <is>
          <t xml:space="preserve">11:30</t>
        </is>
      </c>
      <c r="L29" s="9">
        <v>4.5</v>
      </c>
      <c r="M29" s="9">
        <v>4.5</v>
      </c>
      <c r="N29" s="6"/>
      <c r="O29" s="10">
        <f>IF(N29&lt;&gt;"",N29,M29)</f>
      </c>
      <c r="P29" s="4">
        <v>513</v>
      </c>
      <c r="Q29" s="7"/>
      <c r="R29" s="5">
        <f>IF(Q29&lt;&gt;"",Q29,IF(N29&lt;&gt;"",IF(M29&gt;0,ROUND(P29*N29/M29,2),0),P29))</f>
      </c>
      <c r="S29" s="9">
        <v>114</v>
      </c>
      <c r="T29" s="0" t="inlineStr">
        <is>
          <t xml:space="preserve">Venue/event Sunday: 4.5 h × R114 (R95 × 1.2)</t>
        </is>
      </c>
      <c r="U29" s="6"/>
    </row>
    <row r="30">
      <c r="A30" s="0">
        <v>9945</v>
      </c>
      <c r="B30" s="0" t="inlineStr">
        <is>
          <t xml:space="preserve">Erick Mpho Molefe</t>
        </is>
      </c>
      <c r="C30" s="0" t="inlineStr">
        <is>
          <t xml:space="preserve">2026-09-28</t>
        </is>
      </c>
      <c r="D30" s="0" t="inlineStr">
        <is>
          <t xml:space="preserve">Monday</t>
        </is>
      </c>
      <c r="F30" s="0" t="inlineStr">
        <is>
          <t xml:space="preserve">Pretoria sonop</t>
        </is>
      </c>
      <c r="G30" s="0" t="inlineStr">
        <is>
          <t xml:space="preserve">pretoria and Wonderours</t>
        </is>
      </c>
      <c r="H30" s="0" t="inlineStr">
        <is>
          <t xml:space="preserve">strike down</t>
        </is>
      </c>
      <c r="I30" s="0" t="inlineStr">
        <is>
          <t xml:space="preserve">Normal</t>
        </is>
      </c>
      <c r="J30" s="0" t="inlineStr">
        <is>
          <t xml:space="preserve">07:00</t>
        </is>
      </c>
      <c r="K30" s="0" t="inlineStr">
        <is>
          <t xml:space="preserve">16:00</t>
        </is>
      </c>
      <c r="L30" s="9">
        <v>9</v>
      </c>
      <c r="M30" s="9">
        <v>9</v>
      </c>
      <c r="N30" s="6"/>
      <c r="O30" s="10">
        <f>IF(N30&lt;&gt;"",N30,M30)</f>
      </c>
      <c r="P30" s="4">
        <v>855</v>
      </c>
      <c r="Q30" s="7"/>
      <c r="R30" s="5">
        <f>IF(Q30&lt;&gt;"",Q30,IF(N30&lt;&gt;"",IF(M30&gt;0,ROUND(P30*N30/M30,2),0),P30))</f>
      </c>
      <c r="S30" s="9">
        <v>95</v>
      </c>
      <c r="T30" s="0" t="inlineStr">
        <is>
          <t xml:space="preserve">Venue/event: 9 h × R95</t>
        </is>
      </c>
      <c r="U30" s="6"/>
    </row>
    <row r="31">
      <c r="A31" s="0">
        <v>9944</v>
      </c>
      <c r="B31" s="0" t="inlineStr">
        <is>
          <t xml:space="preserve">Erick Mpho Molefe</t>
        </is>
      </c>
      <c r="C31" s="0" t="inlineStr">
        <is>
          <t xml:space="preserve">2026-09-29</t>
        </is>
      </c>
      <c r="D31" s="0" t="inlineStr">
        <is>
          <t xml:space="preserve">Tuesday</t>
        </is>
      </c>
      <c r="F31" s="0" t="inlineStr">
        <is>
          <t xml:space="preserve">wharehouse</t>
        </is>
      </c>
      <c r="G31" s="0" t="inlineStr">
        <is>
          <t xml:space="preserve">henley</t>
        </is>
      </c>
      <c r="H31" s="0" t="inlineStr">
        <is>
          <t xml:space="preserve">loading</t>
        </is>
      </c>
      <c r="I31" s="0" t="inlineStr">
        <is>
          <t xml:space="preserve">Normal</t>
        </is>
      </c>
      <c r="J31" s="0" t="inlineStr">
        <is>
          <t xml:space="preserve">07:00</t>
        </is>
      </c>
      <c r="K31" s="0" t="inlineStr">
        <is>
          <t xml:space="preserve">16:00</t>
        </is>
      </c>
      <c r="L31" s="9">
        <v>9</v>
      </c>
      <c r="M31" s="9">
        <v>9</v>
      </c>
      <c r="N31" s="6"/>
      <c r="O31" s="10">
        <f>IF(N31&lt;&gt;"",N31,M31)</f>
      </c>
      <c r="P31" s="4">
        <v>690.63</v>
      </c>
      <c r="Q31" s="7"/>
      <c r="R31" s="5">
        <f>IF(Q31&lt;&gt;"",Q31,IF(N31&lt;&gt;"",IF(M31&gt;0,ROUND(P31*N31/M31,2),0),P31))</f>
      </c>
      <c r="S31" s="9">
        <v>81.25</v>
      </c>
      <c r="T31" s="0" t="inlineStr">
        <is>
          <t xml:space="preserve">OWNER CORRECTION: Owner 30 Sep 2026: same team, same rate — Tue 29 Sep whole team loading at the warehouse for Sunbet = Warehouse 9 h − 0.5 h meeting = 8.5 h × R81,25 = R690,63 (owner chose Warehouse for Patrick, Bhekizitha, Daniel, Erence, Taka the same day).</t>
        </is>
      </c>
      <c r="U31" s="6"/>
    </row>
    <row r="32">
      <c r="A32" s="0">
        <v>9947</v>
      </c>
      <c r="B32" s="0" t="inlineStr">
        <is>
          <t xml:space="preserve">Erick Mpho Molefe</t>
        </is>
      </c>
      <c r="C32" s="0" t="inlineStr">
        <is>
          <t xml:space="preserve">2026-09-30</t>
        </is>
      </c>
      <c r="D32" s="0" t="inlineStr">
        <is>
          <t xml:space="preserve">Wednesday</t>
        </is>
      </c>
      <c r="F32" s="0" t="inlineStr">
        <is>
          <t xml:space="preserve">sun bet arena</t>
        </is>
      </c>
      <c r="G32" s="0" t="inlineStr">
        <is>
          <t xml:space="preserve">pretoria</t>
        </is>
      </c>
      <c r="H32" s="0" t="inlineStr">
        <is>
          <t xml:space="preserve">set up</t>
        </is>
      </c>
      <c r="I32" s="0" t="inlineStr">
        <is>
          <t xml:space="preserve">Normal</t>
        </is>
      </c>
      <c r="J32" s="0" t="inlineStr">
        <is>
          <t xml:space="preserve">07:00</t>
        </is>
      </c>
      <c r="K32" s="0" t="inlineStr">
        <is>
          <t xml:space="preserve">16:00</t>
        </is>
      </c>
      <c r="L32" s="9">
        <v>9</v>
      </c>
      <c r="M32" s="9">
        <v>9</v>
      </c>
      <c r="N32" s="6"/>
      <c r="O32" s="10">
        <f>IF(N32&lt;&gt;"",N32,M32)</f>
      </c>
      <c r="P32" s="4">
        <v>855</v>
      </c>
      <c r="Q32" s="7"/>
      <c r="R32" s="5">
        <f>IF(Q32&lt;&gt;"",Q32,IF(N32&lt;&gt;"",IF(M32&gt;0,ROUND(P32*N32/M32,2),0),P32))</f>
      </c>
      <c r="S32" s="9">
        <v>95</v>
      </c>
      <c r="T32" s="0" t="inlineStr">
        <is>
          <t xml:space="preserve">Venue/event: 9 h × R95</t>
        </is>
      </c>
      <c r="U32" s="6"/>
    </row>
    <row r="33">
      <c r="A33" s="0">
        <v>9943</v>
      </c>
      <c r="B33" s="0" t="inlineStr">
        <is>
          <t xml:space="preserve">Erick Mpho Molefe</t>
        </is>
      </c>
      <c r="C33" s="0" t="inlineStr">
        <is>
          <t xml:space="preserve">2026-10-01</t>
        </is>
      </c>
      <c r="D33" s="0" t="inlineStr">
        <is>
          <t xml:space="preserve">Thursday</t>
        </is>
      </c>
      <c r="F33" s="0" t="inlineStr">
        <is>
          <t xml:space="preserve">wharehouse</t>
        </is>
      </c>
      <c r="G33" s="0" t="inlineStr">
        <is>
          <t xml:space="preserve">henley</t>
        </is>
      </c>
      <c r="H33" s="0" t="inlineStr">
        <is>
          <t xml:space="preserve">loading</t>
        </is>
      </c>
      <c r="I33" s="0" t="inlineStr">
        <is>
          <t xml:space="preserve">Normal</t>
        </is>
      </c>
      <c r="J33" s="0" t="inlineStr">
        <is>
          <t xml:space="preserve">07:00</t>
        </is>
      </c>
      <c r="K33" s="0" t="inlineStr">
        <is>
          <t xml:space="preserve">16:00</t>
        </is>
      </c>
      <c r="L33" s="9">
        <v>9</v>
      </c>
      <c r="M33" s="9">
        <v>9</v>
      </c>
      <c r="N33" s="6"/>
      <c r="O33" s="10">
        <f>IF(N33&lt;&gt;"",N33,M33)</f>
      </c>
      <c r="P33" s="4">
        <v>855</v>
      </c>
      <c r="Q33" s="7"/>
      <c r="R33" s="5">
        <f>IF(Q33&lt;&gt;"",Q33,IF(N33&lt;&gt;"",IF(M33&gt;0,ROUND(P33*N33/M33,2),0),P33))</f>
      </c>
      <c r="S33" s="9">
        <v>95</v>
      </c>
      <c r="T33" s="0" t="inlineStr">
        <is>
          <t xml:space="preserve">OWNER CORRECTION: Owner 30 Sep 2026: Thursday 1 Oct everyone is at FNB — venue/event rate approved: 9 h × R95 = R855 (wording said warehouse loading).</t>
        </is>
      </c>
      <c r="U33" s="6"/>
    </row>
    <row r="34">
      <c r="A34" s="0">
        <v>9942</v>
      </c>
      <c r="B34" s="0" t="inlineStr">
        <is>
          <t xml:space="preserve">Erick Mpho Molefe</t>
        </is>
      </c>
      <c r="C34" s="0" t="inlineStr">
        <is>
          <t xml:space="preserve">2026-10-02</t>
        </is>
      </c>
      <c r="D34" s="0" t="inlineStr">
        <is>
          <t xml:space="preserve">Friday</t>
        </is>
      </c>
      <c r="F34" s="0" t="inlineStr">
        <is>
          <t xml:space="preserve">wharehouse</t>
        </is>
      </c>
      <c r="G34" s="0" t="inlineStr">
        <is>
          <t xml:space="preserve">henley</t>
        </is>
      </c>
      <c r="H34" s="0" t="inlineStr">
        <is>
          <t xml:space="preserve">loading</t>
        </is>
      </c>
      <c r="I34" s="0" t="inlineStr">
        <is>
          <t xml:space="preserve">Normal</t>
        </is>
      </c>
      <c r="J34" s="0" t="inlineStr">
        <is>
          <t xml:space="preserve">07:00</t>
        </is>
      </c>
      <c r="K34" s="0" t="inlineStr">
        <is>
          <t xml:space="preserve">16:00</t>
        </is>
      </c>
      <c r="L34" s="9">
        <v>9</v>
      </c>
      <c r="M34" s="9">
        <v>9</v>
      </c>
      <c r="N34" s="6"/>
      <c r="O34" s="10">
        <f>IF(N34&lt;&gt;"",N34,M34)</f>
      </c>
      <c r="P34" s="4">
        <v>855</v>
      </c>
      <c r="Q34" s="7"/>
      <c r="R34" s="5">
        <f>IF(Q34&lt;&gt;"",Q34,IF(N34&lt;&gt;"",IF(M34&gt;0,ROUND(P34*N34/M34,2),0),P34))</f>
      </c>
      <c r="S34" s="9">
        <v>95</v>
      </c>
      <c r="T34" s="0" t="inlineStr">
        <is>
          <t xml:space="preserve">Venue/event: 9 h × R95</t>
        </is>
      </c>
      <c r="U34" s="6"/>
    </row>
    <row r="35">
      <c r="A35" s="0">
        <v>9948</v>
      </c>
      <c r="B35" s="0" t="inlineStr">
        <is>
          <t xml:space="preserve">Givemore Chifetete Kuziwa</t>
        </is>
      </c>
      <c r="C35" s="0" t="inlineStr">
        <is>
          <t xml:space="preserve">2026-09-26</t>
        </is>
      </c>
      <c r="D35" s="0" t="inlineStr">
        <is>
          <t xml:space="preserve">Saturday</t>
        </is>
      </c>
      <c r="F35" s="0" t="inlineStr">
        <is>
          <t xml:space="preserve">Garden</t>
        </is>
      </c>
      <c r="G35" s="0" t="inlineStr">
        <is>
          <t xml:space="preserve">Henley on klip</t>
        </is>
      </c>
      <c r="H35" s="0" t="inlineStr">
        <is>
          <t xml:space="preserve">Cleaning</t>
        </is>
      </c>
      <c r="I35" s="0" t="inlineStr">
        <is>
          <t xml:space="preserve">House/Garden</t>
        </is>
      </c>
      <c r="J35" s="0" t="inlineStr">
        <is>
          <t xml:space="preserve">08:00</t>
        </is>
      </c>
      <c r="K35" s="0" t="inlineStr">
        <is>
          <t xml:space="preserve">14:00</t>
        </is>
      </c>
      <c r="L35" s="9">
        <v>6</v>
      </c>
      <c r="M35" s="9">
        <v>6</v>
      </c>
      <c r="N35" s="6"/>
      <c r="O35" s="10">
        <f>IF(N35&lt;&gt;"",N35,M35)</f>
      </c>
      <c r="P35" s="4">
        <v>375</v>
      </c>
      <c r="Q35" s="7"/>
      <c r="R35" s="5">
        <f>IF(Q35&lt;&gt;"",Q35,IF(N35&lt;&gt;"",IF(M35&gt;0,ROUND(P35*N35/M35,2),0),P35))</f>
      </c>
      <c r="S35" s="9">
        <v>62.5</v>
      </c>
      <c r="T35" s="0" t="inlineStr">
        <is>
          <t xml:space="preserve">Gardener House work: 6 h × R62,50</t>
        </is>
      </c>
      <c r="U35" s="6"/>
    </row>
    <row r="36">
      <c r="A36" s="0">
        <v>9949</v>
      </c>
      <c r="B36" s="0" t="inlineStr">
        <is>
          <t xml:space="preserve">Givemore Chifetete Kuziwa</t>
        </is>
      </c>
      <c r="C36" s="0" t="inlineStr">
        <is>
          <t xml:space="preserve">2026-09-28</t>
        </is>
      </c>
      <c r="D36" s="0" t="inlineStr">
        <is>
          <t xml:space="preserve">Monday</t>
        </is>
      </c>
      <c r="F36" s="0" t="inlineStr">
        <is>
          <t xml:space="preserve">Garden</t>
        </is>
      </c>
      <c r="G36" s="0" t="inlineStr">
        <is>
          <t xml:space="preserve">Henley on klip</t>
        </is>
      </c>
      <c r="H36" s="0" t="inlineStr">
        <is>
          <t xml:space="preserve">Cleaning</t>
        </is>
      </c>
      <c r="I36" s="0" t="inlineStr">
        <is>
          <t xml:space="preserve">House/Garden</t>
        </is>
      </c>
      <c r="J36" s="0" t="inlineStr">
        <is>
          <t xml:space="preserve">08:00</t>
        </is>
      </c>
      <c r="K36" s="0" t="inlineStr">
        <is>
          <t xml:space="preserve">16:00</t>
        </is>
      </c>
      <c r="L36" s="9">
        <v>8</v>
      </c>
      <c r="M36" s="9">
        <v>8</v>
      </c>
      <c r="N36" s="6"/>
      <c r="O36" s="10">
        <f>IF(N36&lt;&gt;"",N36,M36)</f>
      </c>
      <c r="P36" s="4">
        <v>500</v>
      </c>
      <c r="Q36" s="7"/>
      <c r="R36" s="5">
        <f>IF(Q36&lt;&gt;"",Q36,IF(N36&lt;&gt;"",IF(M36&gt;0,ROUND(P36*N36/M36,2),0),P36))</f>
      </c>
      <c r="S36" s="9">
        <v>62.5</v>
      </c>
      <c r="T36" s="0" t="inlineStr">
        <is>
          <t xml:space="preserve">Gardener House work: 8 h × R62,50</t>
        </is>
      </c>
      <c r="U36" s="6"/>
    </row>
    <row r="37">
      <c r="A37" s="0">
        <v>9950</v>
      </c>
      <c r="B37" s="0" t="inlineStr">
        <is>
          <t xml:space="preserve">Givemore Chifetete Kuziwa</t>
        </is>
      </c>
      <c r="C37" s="0" t="inlineStr">
        <is>
          <t xml:space="preserve">2026-09-29</t>
        </is>
      </c>
      <c r="D37" s="0" t="inlineStr">
        <is>
          <t xml:space="preserve">Tuesday</t>
        </is>
      </c>
      <c r="F37" s="0" t="inlineStr">
        <is>
          <t xml:space="preserve">Garden</t>
        </is>
      </c>
      <c r="G37" s="0" t="inlineStr">
        <is>
          <t xml:space="preserve">Henley on klip</t>
        </is>
      </c>
      <c r="H37" s="0" t="inlineStr">
        <is>
          <t xml:space="preserve">Cleaning</t>
        </is>
      </c>
      <c r="I37" s="0" t="inlineStr">
        <is>
          <t xml:space="preserve">House/Garden</t>
        </is>
      </c>
      <c r="J37" s="0" t="inlineStr">
        <is>
          <t xml:space="preserve">08:00</t>
        </is>
      </c>
      <c r="K37" s="0" t="inlineStr">
        <is>
          <t xml:space="preserve">16:00</t>
        </is>
      </c>
      <c r="L37" s="9">
        <v>8</v>
      </c>
      <c r="M37" s="9">
        <v>8</v>
      </c>
      <c r="N37" s="6"/>
      <c r="O37" s="10">
        <f>IF(N37&lt;&gt;"",N37,M37)</f>
      </c>
      <c r="P37" s="4">
        <v>500</v>
      </c>
      <c r="Q37" s="7"/>
      <c r="R37" s="5">
        <f>IF(Q37&lt;&gt;"",Q37,IF(N37&lt;&gt;"",IF(M37&gt;0,ROUND(P37*N37/M37,2),0),P37))</f>
      </c>
      <c r="S37" s="9">
        <v>62.5</v>
      </c>
      <c r="T37" s="0" t="inlineStr">
        <is>
          <t xml:space="preserve">Gardener House work: 8 h × R62,50</t>
        </is>
      </c>
      <c r="U37" s="6"/>
    </row>
    <row r="38">
      <c r="A38" s="0">
        <v>9951</v>
      </c>
      <c r="B38" s="0" t="inlineStr">
        <is>
          <t xml:space="preserve">Givemore Chifetete Kuziwa</t>
        </is>
      </c>
      <c r="C38" s="0" t="inlineStr">
        <is>
          <t xml:space="preserve">2026-09-30</t>
        </is>
      </c>
      <c r="D38" s="0" t="inlineStr">
        <is>
          <t xml:space="preserve">Wednesday</t>
        </is>
      </c>
      <c r="F38" s="0" t="inlineStr">
        <is>
          <t xml:space="preserve">Garden</t>
        </is>
      </c>
      <c r="G38" s="0" t="inlineStr">
        <is>
          <t xml:space="preserve">Henley on klip</t>
        </is>
      </c>
      <c r="H38" s="0" t="inlineStr">
        <is>
          <t xml:space="preserve">Cleaning</t>
        </is>
      </c>
      <c r="I38" s="0" t="inlineStr">
        <is>
          <t xml:space="preserve">House/Garden</t>
        </is>
      </c>
      <c r="J38" s="0" t="inlineStr">
        <is>
          <t xml:space="preserve">08:00</t>
        </is>
      </c>
      <c r="K38" s="0" t="inlineStr">
        <is>
          <t xml:space="preserve">16:00</t>
        </is>
      </c>
      <c r="L38" s="9">
        <v>8</v>
      </c>
      <c r="M38" s="9">
        <v>8</v>
      </c>
      <c r="N38" s="6"/>
      <c r="O38" s="10">
        <f>IF(N38&lt;&gt;"",N38,M38)</f>
      </c>
      <c r="P38" s="4">
        <v>500</v>
      </c>
      <c r="Q38" s="7"/>
      <c r="R38" s="5">
        <f>IF(Q38&lt;&gt;"",Q38,IF(N38&lt;&gt;"",IF(M38&gt;0,ROUND(P38*N38/M38,2),0),P38))</f>
      </c>
      <c r="S38" s="9">
        <v>62.5</v>
      </c>
      <c r="T38" s="0" t="inlineStr">
        <is>
          <t xml:space="preserve">Gardener House work: 8 h × R62,50</t>
        </is>
      </c>
      <c r="U38" s="6"/>
    </row>
    <row r="39">
      <c r="A39" s="0">
        <v>9952</v>
      </c>
      <c r="B39" s="0" t="inlineStr">
        <is>
          <t xml:space="preserve">Givemore Chifetete Kuziwa</t>
        </is>
      </c>
      <c r="C39" s="0" t="inlineStr">
        <is>
          <t xml:space="preserve">2026-10-01</t>
        </is>
      </c>
      <c r="D39" s="0" t="inlineStr">
        <is>
          <t xml:space="preserve">Thursday</t>
        </is>
      </c>
      <c r="F39" s="0" t="inlineStr">
        <is>
          <t xml:space="preserve">Garden</t>
        </is>
      </c>
      <c r="G39" s="0" t="inlineStr">
        <is>
          <t xml:space="preserve">Henley on klip</t>
        </is>
      </c>
      <c r="H39" s="0" t="inlineStr">
        <is>
          <t xml:space="preserve">Cleaning</t>
        </is>
      </c>
      <c r="I39" s="0" t="inlineStr">
        <is>
          <t xml:space="preserve">House/Garden</t>
        </is>
      </c>
      <c r="J39" s="0" t="inlineStr">
        <is>
          <t xml:space="preserve">08:00</t>
        </is>
      </c>
      <c r="K39" s="0" t="inlineStr">
        <is>
          <t xml:space="preserve">16:00</t>
        </is>
      </c>
      <c r="L39" s="9">
        <v>8</v>
      </c>
      <c r="M39" s="9">
        <v>8</v>
      </c>
      <c r="N39" s="6"/>
      <c r="O39" s="10">
        <f>IF(N39&lt;&gt;"",N39,M39)</f>
      </c>
      <c r="P39" s="4">
        <v>500</v>
      </c>
      <c r="Q39" s="7"/>
      <c r="R39" s="5">
        <f>IF(Q39&lt;&gt;"",Q39,IF(N39&lt;&gt;"",IF(M39&gt;0,ROUND(P39*N39/M39,2),0),P39))</f>
      </c>
      <c r="S39" s="9">
        <v>62.5</v>
      </c>
      <c r="T39" s="0" t="inlineStr">
        <is>
          <t xml:space="preserve">Gardener House work: 8 h × R62,50</t>
        </is>
      </c>
      <c r="U39" s="6"/>
    </row>
    <row r="40">
      <c r="A40" s="0">
        <v>9953</v>
      </c>
      <c r="B40" s="0" t="inlineStr">
        <is>
          <t xml:space="preserve">Givemore Chifetete Kuziwa</t>
        </is>
      </c>
      <c r="C40" s="0" t="inlineStr">
        <is>
          <t xml:space="preserve">2026-10-02</t>
        </is>
      </c>
      <c r="D40" s="0" t="inlineStr">
        <is>
          <t xml:space="preserve">Friday</t>
        </is>
      </c>
      <c r="F40" s="0" t="inlineStr">
        <is>
          <t xml:space="preserve">Garden</t>
        </is>
      </c>
      <c r="G40" s="0" t="inlineStr">
        <is>
          <t xml:space="preserve">Henley on klip</t>
        </is>
      </c>
      <c r="H40" s="0" t="inlineStr">
        <is>
          <t xml:space="preserve">Cleaning</t>
        </is>
      </c>
      <c r="I40" s="0" t="inlineStr">
        <is>
          <t xml:space="preserve">House/Garden</t>
        </is>
      </c>
      <c r="J40" s="0" t="inlineStr">
        <is>
          <t xml:space="preserve">08:00</t>
        </is>
      </c>
      <c r="K40" s="0" t="inlineStr">
        <is>
          <t xml:space="preserve">16:00</t>
        </is>
      </c>
      <c r="L40" s="9">
        <v>8</v>
      </c>
      <c r="M40" s="9">
        <v>8</v>
      </c>
      <c r="N40" s="6"/>
      <c r="O40" s="10">
        <f>IF(N40&lt;&gt;"",N40,M40)</f>
      </c>
      <c r="P40" s="4">
        <v>500</v>
      </c>
      <c r="Q40" s="7"/>
      <c r="R40" s="5">
        <f>IF(Q40&lt;&gt;"",Q40,IF(N40&lt;&gt;"",IF(M40&gt;0,ROUND(P40*N40/M40,2),0),P40))</f>
      </c>
      <c r="S40" s="9">
        <v>62.5</v>
      </c>
      <c r="T40" s="0" t="inlineStr">
        <is>
          <t xml:space="preserve">Gardener House work: 8 h × R62,50</t>
        </is>
      </c>
      <c r="U40" s="6"/>
    </row>
    <row r="41">
      <c r="A41" s="0">
        <v>9964</v>
      </c>
      <c r="B41" s="0" t="inlineStr">
        <is>
          <t xml:space="preserve">Isaac Mbele</t>
        </is>
      </c>
      <c r="C41" s="0" t="inlineStr">
        <is>
          <t xml:space="preserve">2026-09-26</t>
        </is>
      </c>
      <c r="D41" s="0" t="inlineStr">
        <is>
          <t xml:space="preserve">Saturday</t>
        </is>
      </c>
      <c r="F41" s="0" t="inlineStr">
        <is>
          <t xml:space="preserve">Warehouse</t>
        </is>
      </c>
      <c r="G41" s="0" t="inlineStr">
        <is>
          <t xml:space="preserve">Randvaal, Gauteng, South Africa</t>
        </is>
      </c>
      <c r="H41" s="0" t="inlineStr">
        <is>
          <t xml:space="preserve">Fixing</t>
        </is>
      </c>
      <c r="I41" s="0" t="inlineStr">
        <is>
          <t xml:space="preserve">Normal</t>
        </is>
      </c>
      <c r="J41" s="0" t="inlineStr">
        <is>
          <t xml:space="preserve">07:00</t>
        </is>
      </c>
      <c r="K41" s="0" t="inlineStr">
        <is>
          <t xml:space="preserve">13:00</t>
        </is>
      </c>
      <c r="L41" s="9">
        <v>6</v>
      </c>
      <c r="M41" s="9">
        <v>6</v>
      </c>
      <c r="N41" s="6"/>
      <c r="O41" s="10">
        <f>IF(N41&lt;&gt;"",N41,M41)</f>
      </c>
      <c r="P41" s="4">
        <v>487.5</v>
      </c>
      <c r="Q41" s="7"/>
      <c r="R41" s="5">
        <f>IF(Q41&lt;&gt;"",Q41,IF(N41&lt;&gt;"",IF(M41&gt;0,ROUND(P41*N41/M41,2),0),P41))</f>
      </c>
      <c r="S41" s="9">
        <v>81.25</v>
      </c>
      <c r="T41" s="0" t="inlineStr">
        <is>
          <t xml:space="preserve">OWNER CORRECTION: Owner 30 Sep 2026: warehouse fixing Sat 07:00–13:00 = 6 h × R81,25 = R487,50 (engine flat R750 was wrong for 6 h). Same as Taka/John warehouse Saturday rate.</t>
        </is>
      </c>
      <c r="U41" s="6"/>
      <c r="V41" s="0" t="inlineStr">
        <is>
          <t xml:space="preserve">#10307</t>
        </is>
      </c>
    </row>
    <row r="42">
      <c r="A42" s="0">
        <v>9965</v>
      </c>
      <c r="B42" s="0" t="inlineStr">
        <is>
          <t xml:space="preserve">Isaac Mbele</t>
        </is>
      </c>
      <c r="C42" s="0" t="inlineStr">
        <is>
          <t xml:space="preserve">2026-09-28</t>
        </is>
      </c>
      <c r="D42" s="0" t="inlineStr">
        <is>
          <t xml:space="preserve">Monday</t>
        </is>
      </c>
      <c r="F42" s="0" t="inlineStr">
        <is>
          <t xml:space="preserve">Warehouse</t>
        </is>
      </c>
      <c r="G42" s="0" t="inlineStr">
        <is>
          <t xml:space="preserve">Randvaal, Gauteng, South Africa</t>
        </is>
      </c>
      <c r="H42" s="0" t="inlineStr">
        <is>
          <t xml:space="preserve">Warehouse striking</t>
        </is>
      </c>
      <c r="I42" s="0" t="inlineStr">
        <is>
          <t xml:space="preserve">Normal</t>
        </is>
      </c>
      <c r="J42" s="0" t="inlineStr">
        <is>
          <t xml:space="preserve">07:00</t>
        </is>
      </c>
      <c r="K42" s="0" t="inlineStr">
        <is>
          <t xml:space="preserve">16:00</t>
        </is>
      </c>
      <c r="L42" s="9">
        <v>9</v>
      </c>
      <c r="M42" s="9">
        <v>9</v>
      </c>
      <c r="N42" s="6"/>
      <c r="O42" s="10">
        <f>IF(N42&lt;&gt;"",N42,M42)</f>
      </c>
      <c r="P42" s="4">
        <v>855</v>
      </c>
      <c r="Q42" s="7"/>
      <c r="R42" s="5">
        <f>IF(Q42&lt;&gt;"",Q42,IF(N42&lt;&gt;"",IF(M42&gt;0,ROUND(P42*N42/M42,2),0),P42))</f>
      </c>
      <c r="S42" s="9">
        <v>95</v>
      </c>
      <c r="T42" s="0" t="inlineStr">
        <is>
          <t xml:space="preserve">OWNER CORRECTION: Owner 30 Sep 2026: same team, same rate — Mon 28 Sep strike-down (Orlando / Wanderers / Sonop) team all 9 h × R95 = R855. Was R750 unpriced.</t>
        </is>
      </c>
      <c r="U42" s="6"/>
      <c r="V42" s="0" t="inlineStr">
        <is>
          <t xml:space="preserve">#10309</t>
        </is>
      </c>
    </row>
    <row r="43">
      <c r="A43" s="0">
        <v>9966</v>
      </c>
      <c r="B43" s="0" t="inlineStr">
        <is>
          <t xml:space="preserve">Isaac Mbele</t>
        </is>
      </c>
      <c r="C43" s="0" t="inlineStr">
        <is>
          <t xml:space="preserve">2026-09-29</t>
        </is>
      </c>
      <c r="D43" s="0" t="inlineStr">
        <is>
          <t xml:space="preserve">Tuesday</t>
        </is>
      </c>
      <c r="F43" s="0" t="inlineStr">
        <is>
          <t xml:space="preserve">Warehouse</t>
        </is>
      </c>
      <c r="G43" s="0" t="inlineStr">
        <is>
          <t xml:space="preserve">Randvaal, Gauteng, South Africa</t>
        </is>
      </c>
      <c r="H43" s="0" t="inlineStr">
        <is>
          <t xml:space="preserve">Loading</t>
        </is>
      </c>
      <c r="I43" s="0" t="inlineStr">
        <is>
          <t xml:space="preserve">Normal</t>
        </is>
      </c>
      <c r="J43" s="0" t="inlineStr">
        <is>
          <t xml:space="preserve">07:00</t>
        </is>
      </c>
      <c r="K43" s="0" t="inlineStr">
        <is>
          <t xml:space="preserve">16:00</t>
        </is>
      </c>
      <c r="L43" s="9">
        <v>9</v>
      </c>
      <c r="M43" s="9">
        <v>9</v>
      </c>
      <c r="N43" s="6"/>
      <c r="O43" s="10">
        <f>IF(N43&lt;&gt;"",N43,M43)</f>
      </c>
      <c r="P43" s="4">
        <v>690.63</v>
      </c>
      <c r="Q43" s="7"/>
      <c r="R43" s="5">
        <f>IF(Q43&lt;&gt;"",Q43,IF(N43&lt;&gt;"",IF(M43&gt;0,ROUND(P43*N43/M43,2),0),P43))</f>
      </c>
      <c r="S43" s="9">
        <v>81.25</v>
      </c>
      <c r="T43" s="0" t="inlineStr">
        <is>
          <t xml:space="preserve">OWNER CORRECTION: Owner 30 Sep 2026: same team, same rate — Tue 29 Sep whole team loading at the warehouse for Sunbet = Warehouse 9 h − 0.5 h meeting = 8.5 h × R81,25 = R690,63 (owner chose Warehouse for Patrick, Bhekizitha, Daniel, Erence, Taka the same day).</t>
        </is>
      </c>
      <c r="U43" s="6"/>
      <c r="V43" s="0" t="inlineStr">
        <is>
          <t xml:space="preserve">#10311</t>
        </is>
      </c>
    </row>
    <row r="44">
      <c r="A44" s="0">
        <v>9967</v>
      </c>
      <c r="B44" s="0" t="inlineStr">
        <is>
          <t xml:space="preserve">Isaac Mbele</t>
        </is>
      </c>
      <c r="C44" s="0" t="inlineStr">
        <is>
          <t xml:space="preserve">2026-09-30</t>
        </is>
      </c>
      <c r="D44" s="0" t="inlineStr">
        <is>
          <t xml:space="preserve">Wednesday</t>
        </is>
      </c>
      <c r="F44" s="0" t="inlineStr">
        <is>
          <t xml:space="preserve">Setup Sunbet</t>
        </is>
      </c>
      <c r="G44" s="0" t="inlineStr">
        <is>
          <t xml:space="preserve">Pretoria</t>
        </is>
      </c>
      <c r="H44" s="0" t="inlineStr">
        <is>
          <t xml:space="preserve">Setup</t>
        </is>
      </c>
      <c r="I44" s="0" t="inlineStr">
        <is>
          <t xml:space="preserve">Normal</t>
        </is>
      </c>
      <c r="J44" s="0" t="inlineStr">
        <is>
          <t xml:space="preserve">07:00</t>
        </is>
      </c>
      <c r="K44" s="0" t="inlineStr">
        <is>
          <t xml:space="preserve">16:00</t>
        </is>
      </c>
      <c r="L44" s="9">
        <v>9</v>
      </c>
      <c r="M44" s="9">
        <v>9</v>
      </c>
      <c r="N44" s="6"/>
      <c r="O44" s="10">
        <f>IF(N44&lt;&gt;"",N44,M44)</f>
      </c>
      <c r="P44" s="4">
        <v>855</v>
      </c>
      <c r="Q44" s="7"/>
      <c r="R44" s="5">
        <f>IF(Q44&lt;&gt;"",Q44,IF(N44&lt;&gt;"",IF(M44&gt;0,ROUND(P44*N44/M44,2),0),P44))</f>
      </c>
      <c r="S44" s="9">
        <v>95</v>
      </c>
      <c r="T44" s="0" t="inlineStr">
        <is>
          <t xml:space="preserve">Venue/event: 9 h × R95</t>
        </is>
      </c>
      <c r="U44" s="6"/>
    </row>
    <row r="45">
      <c r="A45" s="0">
        <v>9968</v>
      </c>
      <c r="B45" s="0" t="inlineStr">
        <is>
          <t xml:space="preserve">Isaac Mbele</t>
        </is>
      </c>
      <c r="C45" s="0" t="inlineStr">
        <is>
          <t xml:space="preserve">2026-10-01</t>
        </is>
      </c>
      <c r="D45" s="0" t="inlineStr">
        <is>
          <t xml:space="preserve">Thursday</t>
        </is>
      </c>
      <c r="F45" s="0" t="inlineStr">
        <is>
          <t xml:space="preserve">Sunbet</t>
        </is>
      </c>
      <c r="G45" s="0" t="inlineStr">
        <is>
          <t xml:space="preserve">Pretoria</t>
        </is>
      </c>
      <c r="H45" s="0" t="inlineStr">
        <is>
          <t xml:space="preserve">Setup</t>
        </is>
      </c>
      <c r="I45" s="0" t="inlineStr">
        <is>
          <t xml:space="preserve">Normal</t>
        </is>
      </c>
      <c r="J45" s="0" t="inlineStr">
        <is>
          <t xml:space="preserve">07:00</t>
        </is>
      </c>
      <c r="K45" s="0" t="inlineStr">
        <is>
          <t xml:space="preserve">16:00</t>
        </is>
      </c>
      <c r="L45" s="9">
        <v>9</v>
      </c>
      <c r="M45" s="9">
        <v>9</v>
      </c>
      <c r="N45" s="6"/>
      <c r="O45" s="10">
        <f>IF(N45&lt;&gt;"",N45,M45)</f>
      </c>
      <c r="P45" s="4">
        <v>855</v>
      </c>
      <c r="Q45" s="7"/>
      <c r="R45" s="5">
        <f>IF(Q45&lt;&gt;"",Q45,IF(N45&lt;&gt;"",IF(M45&gt;0,ROUND(P45*N45/M45,2),0),P45))</f>
      </c>
      <c r="S45" s="9">
        <v>95</v>
      </c>
      <c r="T45" s="0" t="inlineStr">
        <is>
          <t xml:space="preserve">OWNER CORRECTION: Owner 30 Sep 2026: Sunbet set-up = event rate (owner rule) — 9 h × R95 = R855 approved.</t>
        </is>
      </c>
      <c r="U45" s="6"/>
    </row>
    <row r="46">
      <c r="A46" s="0">
        <v>9969</v>
      </c>
      <c r="B46" s="0" t="inlineStr">
        <is>
          <t xml:space="preserve">Isaac Mbele</t>
        </is>
      </c>
      <c r="C46" s="0" t="inlineStr">
        <is>
          <t xml:space="preserve">2026-10-02</t>
        </is>
      </c>
      <c r="D46" s="0" t="inlineStr">
        <is>
          <t xml:space="preserve">Friday</t>
        </is>
      </c>
      <c r="F46" s="0" t="inlineStr">
        <is>
          <t xml:space="preserve">Botanical</t>
        </is>
      </c>
      <c r="G46" s="0" t="inlineStr">
        <is>
          <t xml:space="preserve">Pretoria</t>
        </is>
      </c>
      <c r="H46" s="0" t="inlineStr">
        <is>
          <t xml:space="preserve">Setup</t>
        </is>
      </c>
      <c r="I46" s="0" t="inlineStr">
        <is>
          <t xml:space="preserve">Normal</t>
        </is>
      </c>
      <c r="J46" s="0" t="inlineStr">
        <is>
          <t xml:space="preserve">07:00</t>
        </is>
      </c>
      <c r="K46" s="0" t="inlineStr">
        <is>
          <t xml:space="preserve">16:00</t>
        </is>
      </c>
      <c r="L46" s="9">
        <v>9</v>
      </c>
      <c r="M46" s="9">
        <v>9</v>
      </c>
      <c r="N46" s="6"/>
      <c r="O46" s="10">
        <f>IF(N46&lt;&gt;"",N46,M46)</f>
      </c>
      <c r="P46" s="4">
        <v>855</v>
      </c>
      <c r="Q46" s="7"/>
      <c r="R46" s="5">
        <f>IF(Q46&lt;&gt;"",Q46,IF(N46&lt;&gt;"",IF(M46&gt;0,ROUND(P46*N46/M46,2),0),P46))</f>
      </c>
      <c r="S46" s="9">
        <v>95</v>
      </c>
      <c r="T46" s="0" t="inlineStr">
        <is>
          <t xml:space="preserve">Venue/event: 9 h × R95</t>
        </is>
      </c>
      <c r="U46" s="6"/>
    </row>
    <row r="47">
      <c r="A47" s="0">
        <v>9890</v>
      </c>
      <c r="B47" s="0" t="inlineStr">
        <is>
          <t xml:space="preserve">John Simbarashe Mhlanga</t>
        </is>
      </c>
      <c r="C47" s="0" t="inlineStr">
        <is>
          <t xml:space="preserve">2026-09-26</t>
        </is>
      </c>
      <c r="D47" s="0" t="inlineStr">
        <is>
          <t xml:space="preserve">Saturday</t>
        </is>
      </c>
      <c r="F47" s="0" t="inlineStr">
        <is>
          <t xml:space="preserve">Warehouse</t>
        </is>
      </c>
      <c r="G47" s="0" t="inlineStr">
        <is>
          <t xml:space="preserve">Meyerton</t>
        </is>
      </c>
      <c r="H47" s="0" t="inlineStr">
        <is>
          <t xml:space="preserve">Cleaning and sorting the warehouse</t>
        </is>
      </c>
      <c r="I47" s="0" t="inlineStr">
        <is>
          <t xml:space="preserve">Normal</t>
        </is>
      </c>
      <c r="J47" s="0" t="inlineStr">
        <is>
          <t xml:space="preserve">07:00</t>
        </is>
      </c>
      <c r="K47" s="0" t="inlineStr">
        <is>
          <t xml:space="preserve">11:00</t>
        </is>
      </c>
      <c r="L47" s="9">
        <v>4</v>
      </c>
      <c r="M47" s="9">
        <v>4</v>
      </c>
      <c r="N47" s="6"/>
      <c r="O47" s="10">
        <f>IF(N47&lt;&gt;"",N47,M47)</f>
      </c>
      <c r="P47" s="4">
        <v>325</v>
      </c>
      <c r="Q47" s="7"/>
      <c r="R47" s="5">
        <f>IF(Q47&lt;&gt;"",Q47,IF(N47&lt;&gt;"",IF(M47&gt;0,ROUND(P47*N47/M47,2),0),P47))</f>
      </c>
      <c r="S47" s="9">
        <v>81.25</v>
      </c>
      <c r="T47" s="0" t="inlineStr">
        <is>
          <t xml:space="preserve">OWNER CORRECTION: Owner 30 Sep: date corrected 19 Sep → 26 Sep. John picked the wrong Saturday — the warehouse 07:00–11:00 was the morning of Sat 26 Sep, before his Music Bus 11:00–19:00 the same day. Not a catch-up. 4 h × R81,25 = R325,00 unchanged.</t>
        </is>
      </c>
      <c r="U47" s="6"/>
      <c r="V47" s="0" t="inlineStr">
        <is>
          <t xml:space="preserve">#10215</t>
        </is>
      </c>
    </row>
    <row r="48">
      <c r="A48" s="0">
        <v>9891</v>
      </c>
      <c r="B48" s="0" t="inlineStr">
        <is>
          <t xml:space="preserve">John Simbarashe Mhlanga</t>
        </is>
      </c>
      <c r="C48" s="0" t="inlineStr">
        <is>
          <t xml:space="preserve">2026-09-26</t>
        </is>
      </c>
      <c r="D48" s="0" t="inlineStr">
        <is>
          <t xml:space="preserve">Saturday</t>
        </is>
      </c>
      <c r="F48" s="0" t="inlineStr">
        <is>
          <t xml:space="preserve">Music Bus</t>
        </is>
      </c>
      <c r="G48" s="0" t="inlineStr">
        <is>
          <t xml:space="preserve">Vosloorus</t>
        </is>
      </c>
      <c r="H48" s="0" t="inlineStr">
        <is>
          <t xml:space="preserve">Activations</t>
        </is>
      </c>
      <c r="I48" s="0" t="inlineStr">
        <is>
          <t xml:space="preserve">Music Bus</t>
        </is>
      </c>
      <c r="J48" s="0" t="inlineStr">
        <is>
          <t xml:space="preserve">11:00</t>
        </is>
      </c>
      <c r="K48" s="0" t="inlineStr">
        <is>
          <t xml:space="preserve">19:00</t>
        </is>
      </c>
      <c r="L48" s="9">
        <v>8</v>
      </c>
      <c r="M48" s="9">
        <v>8</v>
      </c>
      <c r="N48" s="6"/>
      <c r="O48" s="10">
        <f>IF(N48&lt;&gt;"",N48,M48)</f>
      </c>
      <c r="P48" s="4">
        <v>1110</v>
      </c>
      <c r="Q48" s="7"/>
      <c r="R48" s="5">
        <f>IF(Q48&lt;&gt;"",Q48,IF(N48&lt;&gt;"",IF(M48&gt;0,ROUND(P48*N48/M48,2),0),P48))</f>
      </c>
      <c r="S48" s="9">
        <v>120</v>
      </c>
      <c r="T48" s="0" t="inlineStr">
        <is>
          <t xml:space="preserve">Music Bus: R750 fixed 07–16 + 3 h outside × R120</t>
        </is>
      </c>
      <c r="U48" s="6"/>
    </row>
    <row r="49">
      <c r="A49" s="0">
        <v>9898</v>
      </c>
      <c r="B49" s="0" t="inlineStr">
        <is>
          <t xml:space="preserve">John Simbarashe Mhlanga</t>
        </is>
      </c>
      <c r="C49" s="0" t="inlineStr">
        <is>
          <t xml:space="preserve">2026-09-26</t>
        </is>
      </c>
      <c r="D49" s="0" t="inlineStr">
        <is>
          <t xml:space="preserve">Saturday</t>
        </is>
      </c>
      <c r="F49" s="0" t="inlineStr">
        <is>
          <t xml:space="preserve">Driving home from oulets</t>
        </is>
      </c>
      <c r="G49" s="0" t="inlineStr">
        <is>
          <t xml:space="preserve">Vosloorus</t>
        </is>
      </c>
      <c r="H49" s="0" t="inlineStr">
        <is>
          <t xml:space="preserve">Driving from outlets, dropping off promoters</t>
        </is>
      </c>
      <c r="I49" s="0" t="inlineStr">
        <is>
          <t xml:space="preserve">Music Bus</t>
        </is>
      </c>
      <c r="J49" s="0" t="inlineStr">
        <is>
          <t xml:space="preserve">19:00</t>
        </is>
      </c>
      <c r="K49" s="0" t="inlineStr">
        <is>
          <t xml:space="preserve">21:00</t>
        </is>
      </c>
      <c r="L49" s="9">
        <v>2</v>
      </c>
      <c r="M49" s="9">
        <v>2</v>
      </c>
      <c r="N49" s="6"/>
      <c r="O49" s="10">
        <f>IF(N49&lt;&gt;"",N49,M49)</f>
      </c>
      <c r="P49" s="4">
        <v>240</v>
      </c>
      <c r="Q49" s="7"/>
      <c r="R49" s="5">
        <f>IF(Q49&lt;&gt;"",Q49,IF(N49&lt;&gt;"",IF(M49&gt;0,ROUND(P49*N49/M49,2),0),P49))</f>
      </c>
      <c r="S49" s="9">
        <v>120</v>
      </c>
      <c r="T49" s="0" t="inlineStr">
        <is>
          <t xml:space="preserve">Music Bus: no 07–16 time + 2 h outside × R120</t>
        </is>
      </c>
      <c r="U49" s="6"/>
    </row>
    <row r="50">
      <c r="A50" s="0">
        <v>9939</v>
      </c>
      <c r="B50" s="0" t="inlineStr">
        <is>
          <t xml:space="preserve">John Simbarashe Mhlanga</t>
        </is>
      </c>
      <c r="C50" s="0" t="inlineStr">
        <is>
          <t xml:space="preserve">2026-09-27</t>
        </is>
      </c>
      <c r="D50" s="0" t="inlineStr">
        <is>
          <t xml:space="preserve">Sunday</t>
        </is>
      </c>
      <c r="F50" s="0" t="inlineStr">
        <is>
          <t xml:space="preserve">Music Bus</t>
        </is>
      </c>
      <c r="G50" s="0" t="inlineStr">
        <is>
          <t xml:space="preserve">Soweto</t>
        </is>
      </c>
      <c r="H50" s="0" t="inlineStr">
        <is>
          <t xml:space="preserve">Activations</t>
        </is>
      </c>
      <c r="I50" s="0" t="inlineStr">
        <is>
          <t xml:space="preserve">Music Bus</t>
        </is>
      </c>
      <c r="J50" s="0" t="inlineStr">
        <is>
          <t xml:space="preserve">09:00</t>
        </is>
      </c>
      <c r="K50" s="0" t="inlineStr">
        <is>
          <t xml:space="preserve">19:00</t>
        </is>
      </c>
      <c r="L50" s="9">
        <v>10</v>
      </c>
      <c r="M50" s="9">
        <v>10</v>
      </c>
      <c r="N50" s="6"/>
      <c r="O50" s="10">
        <f>IF(N50&lt;&gt;"",N50,M50)</f>
      </c>
      <c r="P50" s="4">
        <v>1200</v>
      </c>
      <c r="Q50" s="7"/>
      <c r="R50" s="5">
        <f>IF(Q50&lt;&gt;"",Q50,IF(N50&lt;&gt;"",IF(M50&gt;0,ROUND(P50*N50/M50,2),0),P50))</f>
      </c>
      <c r="S50" s="9">
        <v>120</v>
      </c>
      <c r="T50" s="0" t="inlineStr">
        <is>
          <t xml:space="preserve">Music Bus Sunday: 10 h × R120</t>
        </is>
      </c>
      <c r="U50" s="6"/>
    </row>
    <row r="51">
      <c r="A51" s="0">
        <v>9940</v>
      </c>
      <c r="B51" s="0" t="inlineStr">
        <is>
          <t xml:space="preserve">John Simbarashe Mhlanga</t>
        </is>
      </c>
      <c r="C51" s="0" t="inlineStr">
        <is>
          <t xml:space="preserve">2026-09-28</t>
        </is>
      </c>
      <c r="D51" s="0" t="inlineStr">
        <is>
          <t xml:space="preserve">Monday</t>
        </is>
      </c>
      <c r="F51" s="0" t="inlineStr">
        <is>
          <t xml:space="preserve">Strike down</t>
        </is>
      </c>
      <c r="G51" s="0" t="inlineStr">
        <is>
          <t xml:space="preserve">Pretoria</t>
        </is>
      </c>
      <c r="H51" s="0" t="inlineStr">
        <is>
          <t xml:space="preserve">Strike down at Sonop pretoria and Wanderers</t>
        </is>
      </c>
      <c r="I51" s="0" t="inlineStr">
        <is>
          <t xml:space="preserve">Normal</t>
        </is>
      </c>
      <c r="J51" s="0" t="inlineStr">
        <is>
          <t xml:space="preserve">07:00</t>
        </is>
      </c>
      <c r="K51" s="0" t="inlineStr">
        <is>
          <t xml:space="preserve">16:00</t>
        </is>
      </c>
      <c r="L51" s="9">
        <v>9</v>
      </c>
      <c r="M51" s="9">
        <v>9</v>
      </c>
      <c r="N51" s="6"/>
      <c r="O51" s="10">
        <f>IF(N51&lt;&gt;"",N51,M51)</f>
      </c>
      <c r="P51" s="4">
        <v>855</v>
      </c>
      <c r="Q51" s="7"/>
      <c r="R51" s="5">
        <f>IF(Q51&lt;&gt;"",Q51,IF(N51&lt;&gt;"",IF(M51&gt;0,ROUND(P51*N51/M51,2),0),P51))</f>
      </c>
      <c r="S51" s="9">
        <v>95</v>
      </c>
      <c r="T51" s="0" t="inlineStr">
        <is>
          <t xml:space="preserve">Venue/event: 9 h × R95</t>
        </is>
      </c>
      <c r="U51" s="6"/>
    </row>
    <row r="52">
      <c r="A52" s="0">
        <v>9941</v>
      </c>
      <c r="B52" s="0" t="inlineStr">
        <is>
          <t xml:space="preserve">John Simbarashe Mhlanga</t>
        </is>
      </c>
      <c r="C52" s="0" t="inlineStr">
        <is>
          <t xml:space="preserve">2026-09-29</t>
        </is>
      </c>
      <c r="D52" s="0" t="inlineStr">
        <is>
          <t xml:space="preserve">Tuesday</t>
        </is>
      </c>
      <c r="F52" s="0" t="inlineStr">
        <is>
          <t xml:space="preserve">Warehouse</t>
        </is>
      </c>
      <c r="G52" s="0" t="inlineStr">
        <is>
          <t xml:space="preserve">Henly on klip</t>
        </is>
      </c>
      <c r="H52" s="0" t="inlineStr">
        <is>
          <t xml:space="preserve">offloading and loading for Sunbet</t>
        </is>
      </c>
      <c r="I52" s="0" t="inlineStr">
        <is>
          <t xml:space="preserve">Normal</t>
        </is>
      </c>
      <c r="J52" s="0" t="inlineStr">
        <is>
          <t xml:space="preserve">07:00</t>
        </is>
      </c>
      <c r="K52" s="0" t="inlineStr">
        <is>
          <t xml:space="preserve">16:00</t>
        </is>
      </c>
      <c r="L52" s="9">
        <v>9</v>
      </c>
      <c r="M52" s="9">
        <v>9</v>
      </c>
      <c r="N52" s="6"/>
      <c r="O52" s="10">
        <f>IF(N52&lt;&gt;"",N52,M52)</f>
      </c>
      <c r="P52" s="4">
        <v>690.63</v>
      </c>
      <c r="Q52" s="7"/>
      <c r="R52" s="5">
        <f>IF(Q52&lt;&gt;"",Q52,IF(N52&lt;&gt;"",IF(M52&gt;0,ROUND(P52*N52/M52,2),0),P52))</f>
      </c>
      <c r="S52" s="9">
        <v>81.25</v>
      </c>
      <c r="T52" s="0" t="inlineStr">
        <is>
          <t xml:space="preserve">OWNER CORRECTION: Owner 30 Sep 2026: same team, same rate — Tue 29 Sep whole team loading at the warehouse for Sunbet = Warehouse 9 h − 0.5 h meeting = 8.5 h × R81,25 = R690,63 (owner chose Warehouse for Patrick, Bhekizitha, Daniel, Erence, Taka the same day).</t>
        </is>
      </c>
      <c r="U52" s="6"/>
      <c r="V52" s="0" t="inlineStr">
        <is>
          <t xml:space="preserve">#10279</t>
        </is>
      </c>
    </row>
    <row r="53">
      <c r="A53" s="0">
        <v>9961</v>
      </c>
      <c r="B53" s="0" t="inlineStr">
        <is>
          <t xml:space="preserve">John Simbarashe Mhlanga</t>
        </is>
      </c>
      <c r="C53" s="0" t="inlineStr">
        <is>
          <t xml:space="preserve">2026-09-30</t>
        </is>
      </c>
      <c r="D53" s="0" t="inlineStr">
        <is>
          <t xml:space="preserve">Wednesday</t>
        </is>
      </c>
      <c r="F53" s="0" t="inlineStr">
        <is>
          <t xml:space="preserve">Sunbet Arena</t>
        </is>
      </c>
      <c r="G53" s="0" t="inlineStr">
        <is>
          <t xml:space="preserve">Pretoria</t>
        </is>
      </c>
      <c r="H53" s="0" t="inlineStr">
        <is>
          <t xml:space="preserve">Setup and fetching prizes for music bus and driving to Middleburg for Promotions</t>
        </is>
      </c>
      <c r="I53" s="0" t="inlineStr">
        <is>
          <t xml:space="preserve">Normal</t>
        </is>
      </c>
      <c r="J53" s="0" t="inlineStr">
        <is>
          <t xml:space="preserve">07:00</t>
        </is>
      </c>
      <c r="K53" s="0" t="inlineStr">
        <is>
          <t xml:space="preserve">16:00</t>
        </is>
      </c>
      <c r="L53" s="9">
        <v>9</v>
      </c>
      <c r="M53" s="9">
        <v>9</v>
      </c>
      <c r="N53" s="6"/>
      <c r="O53" s="10">
        <f>IF(N53&lt;&gt;"",N53,M53)</f>
      </c>
      <c r="P53" s="4">
        <v>855</v>
      </c>
      <c r="Q53" s="7"/>
      <c r="R53" s="5">
        <f>IF(Q53&lt;&gt;"",Q53,IF(N53&lt;&gt;"",IF(M53&gt;0,ROUND(P53*N53/M53,2),0),P53))</f>
      </c>
      <c r="S53" s="9">
        <v>95</v>
      </c>
      <c r="T53" s="0" t="inlineStr">
        <is>
          <t xml:space="preserve">Venue/event: 9 h × R95</t>
        </is>
      </c>
      <c r="U53" s="6"/>
    </row>
    <row r="54">
      <c r="A54" s="0">
        <v>9962</v>
      </c>
      <c r="B54" s="0" t="inlineStr">
        <is>
          <t xml:space="preserve">John Simbarashe Mhlanga</t>
        </is>
      </c>
      <c r="C54" s="0" t="inlineStr">
        <is>
          <t xml:space="preserve">2026-10-01</t>
        </is>
      </c>
      <c r="D54" s="0" t="inlineStr">
        <is>
          <t xml:space="preserve">Thursday</t>
        </is>
      </c>
      <c r="F54" s="0" t="inlineStr">
        <is>
          <t xml:space="preserve">Middleburg</t>
        </is>
      </c>
      <c r="G54" s="0" t="inlineStr">
        <is>
          <t xml:space="preserve">Mpumalanga</t>
        </is>
      </c>
      <c r="H54" s="0" t="inlineStr">
        <is>
          <t xml:space="preserve">Activations</t>
        </is>
      </c>
      <c r="I54" s="0" t="inlineStr">
        <is>
          <t xml:space="preserve">Music Bus</t>
        </is>
      </c>
      <c r="J54" s="0" t="inlineStr">
        <is>
          <t xml:space="preserve">07:00</t>
        </is>
      </c>
      <c r="K54" s="0" t="inlineStr">
        <is>
          <t xml:space="preserve">16:00</t>
        </is>
      </c>
      <c r="L54" s="9">
        <v>9</v>
      </c>
      <c r="M54" s="9">
        <v>9</v>
      </c>
      <c r="N54" s="6"/>
      <c r="O54" s="10">
        <f>IF(N54&lt;&gt;"",N54,M54)</f>
      </c>
      <c r="P54" s="4">
        <v>750</v>
      </c>
      <c r="Q54" s="7"/>
      <c r="R54" s="5">
        <f>IF(Q54&lt;&gt;"",Q54,IF(N54&lt;&gt;"",IF(M54&gt;0,ROUND(P54*N54/M54,2),0),P54))</f>
      </c>
      <c r="S54" s="9">
        <v>130</v>
      </c>
      <c r="T54" s="0" t="inlineStr">
        <is>
          <t xml:space="preserve">OWNER CORRECTION: Owner 30 Sep 2026 APPROVED: Middleburg activation = Music Bus. 07:00–16:00 fixed R750. Anything after 16:00 = R120/h (Music Bus rule) — to be added when actual times are in.</t>
        </is>
      </c>
      <c r="U54" s="6"/>
    </row>
    <row r="55">
      <c r="A55" s="0">
        <v>9963</v>
      </c>
      <c r="B55" s="0" t="inlineStr">
        <is>
          <t xml:space="preserve">John Simbarashe Mhlanga</t>
        </is>
      </c>
      <c r="C55" s="0" t="inlineStr">
        <is>
          <t xml:space="preserve">2026-10-02</t>
        </is>
      </c>
      <c r="D55" s="0" t="inlineStr">
        <is>
          <t xml:space="preserve">Friday</t>
        </is>
      </c>
      <c r="F55" s="0" t="inlineStr">
        <is>
          <t xml:space="preserve">Middleburg</t>
        </is>
      </c>
      <c r="G55" s="0" t="inlineStr">
        <is>
          <t xml:space="preserve">Mpumalanga</t>
        </is>
      </c>
      <c r="H55" s="0" t="inlineStr">
        <is>
          <t xml:space="preserve">Activations</t>
        </is>
      </c>
      <c r="I55" s="0" t="inlineStr">
        <is>
          <t xml:space="preserve">Music Bus</t>
        </is>
      </c>
      <c r="J55" s="0" t="inlineStr">
        <is>
          <t xml:space="preserve">07:00</t>
        </is>
      </c>
      <c r="K55" s="0" t="inlineStr">
        <is>
          <t xml:space="preserve">16:00</t>
        </is>
      </c>
      <c r="L55" s="9">
        <v>9</v>
      </c>
      <c r="M55" s="9">
        <v>9</v>
      </c>
      <c r="N55" s="6"/>
      <c r="O55" s="10">
        <f>IF(N55&lt;&gt;"",N55,M55)</f>
      </c>
      <c r="P55" s="4">
        <v>750</v>
      </c>
      <c r="Q55" s="7"/>
      <c r="R55" s="5">
        <f>IF(Q55&lt;&gt;"",Q55,IF(N55&lt;&gt;"",IF(M55&gt;0,ROUND(P55*N55/M55,2),0),P55))</f>
      </c>
      <c r="S55" s="9">
        <v>130</v>
      </c>
      <c r="T55" s="0" t="inlineStr">
        <is>
          <t xml:space="preserve">OWNER CORRECTION: Owner 30 Sep 2026 APPROVED: Middleburg activation = Music Bus. 07:00–16:00 fixed R750. Anything after 16:00 = R120/h (Music Bus rule) — to be added when actual times are in.</t>
        </is>
      </c>
      <c r="U55" s="6"/>
    </row>
    <row r="56">
      <c r="A56" s="0">
        <v>9938</v>
      </c>
      <c r="B56" s="0" t="inlineStr">
        <is>
          <t xml:space="preserve">Joshua Motsamai Nteo</t>
        </is>
      </c>
      <c r="C56" s="0" t="inlineStr">
        <is>
          <t xml:space="preserve">2026-09-26</t>
        </is>
      </c>
      <c r="D56" s="0" t="inlineStr">
        <is>
          <t xml:space="preserve">Saturday</t>
        </is>
      </c>
      <c r="F56" s="0" t="inlineStr">
        <is>
          <t xml:space="preserve">Brooklyn pretoria</t>
        </is>
      </c>
      <c r="G56" s="0" t="inlineStr">
        <is>
          <t xml:space="preserve">Pretoria</t>
        </is>
      </c>
      <c r="H56" s="0" t="inlineStr">
        <is>
          <t xml:space="preserve">Setup</t>
        </is>
      </c>
      <c r="I56" s="0" t="inlineStr">
        <is>
          <t xml:space="preserve">Normal</t>
        </is>
      </c>
      <c r="J56" s="0" t="inlineStr">
        <is>
          <t xml:space="preserve">06:00</t>
        </is>
      </c>
      <c r="K56" s="0" t="inlineStr">
        <is>
          <t xml:space="preserve">13:00</t>
        </is>
      </c>
      <c r="L56" s="9">
        <v>7</v>
      </c>
      <c r="M56" s="9">
        <v>7</v>
      </c>
      <c r="N56" s="6"/>
      <c r="O56" s="10">
        <f>IF(N56&lt;&gt;"",N56,M56)</f>
      </c>
      <c r="P56" s="4">
        <v>665</v>
      </c>
      <c r="Q56" s="7"/>
      <c r="R56" s="5">
        <f>IF(Q56&lt;&gt;"",Q56,IF(N56&lt;&gt;"",IF(M56&gt;0,ROUND(P56*N56/M56,2),0),P56))</f>
      </c>
      <c r="S56" s="9">
        <v>95</v>
      </c>
      <c r="T56" s="0" t="inlineStr">
        <is>
          <t xml:space="preserve">Venue/event: 7 h × R95</t>
        </is>
      </c>
      <c r="U56" s="6"/>
    </row>
    <row r="57">
      <c r="A57" s="0">
        <v>9937</v>
      </c>
      <c r="B57" s="0" t="inlineStr">
        <is>
          <t xml:space="preserve">Joshua Motsamai Nteo</t>
        </is>
      </c>
      <c r="C57" s="0" t="inlineStr">
        <is>
          <t xml:space="preserve">2026-09-27</t>
        </is>
      </c>
      <c r="D57" s="0" t="inlineStr">
        <is>
          <t xml:space="preserve">Sunday</t>
        </is>
      </c>
      <c r="F57" s="0" t="inlineStr">
        <is>
          <t xml:space="preserve">Conversation center Sandton/ Capital hotel</t>
        </is>
      </c>
      <c r="G57" s="0" t="inlineStr">
        <is>
          <t xml:space="preserve">Sandton</t>
        </is>
      </c>
      <c r="H57" s="0" t="inlineStr">
        <is>
          <t xml:space="preserve">Breakdown</t>
        </is>
      </c>
      <c r="I57" s="0" t="inlineStr">
        <is>
          <t xml:space="preserve">Normal</t>
        </is>
      </c>
      <c r="J57" s="0" t="inlineStr">
        <is>
          <t xml:space="preserve">07:00</t>
        </is>
      </c>
      <c r="K57" s="0" t="inlineStr">
        <is>
          <t xml:space="preserve">11:30</t>
        </is>
      </c>
      <c r="L57" s="9">
        <v>4.5</v>
      </c>
      <c r="M57" s="9">
        <v>4.5</v>
      </c>
      <c r="N57" s="6"/>
      <c r="O57" s="10">
        <f>IF(N57&lt;&gt;"",N57,M57)</f>
      </c>
      <c r="P57" s="4">
        <v>513</v>
      </c>
      <c r="Q57" s="7"/>
      <c r="R57" s="5">
        <f>IF(Q57&lt;&gt;"",Q57,IF(N57&lt;&gt;"",IF(M57&gt;0,ROUND(P57*N57/M57,2),0),P57))</f>
      </c>
      <c r="S57" s="9">
        <v>114</v>
      </c>
      <c r="T57" s="0" t="inlineStr">
        <is>
          <t xml:space="preserve">Venue/event Sunday: 4.5 h × R114 (R95 × 1.2)</t>
        </is>
      </c>
      <c r="U57" s="6"/>
    </row>
    <row r="58">
      <c r="A58" s="0">
        <v>9936</v>
      </c>
      <c r="B58" s="0" t="inlineStr">
        <is>
          <t xml:space="preserve">Joshua Motsamai Nteo</t>
        </is>
      </c>
      <c r="C58" s="0" t="inlineStr">
        <is>
          <t xml:space="preserve">2026-09-28</t>
        </is>
      </c>
      <c r="D58" s="0" t="inlineStr">
        <is>
          <t xml:space="preserve">Monday</t>
        </is>
      </c>
      <c r="F58" s="0" t="inlineStr">
        <is>
          <t xml:space="preserve">Sonop Pretoria/ Protea hotel</t>
        </is>
      </c>
      <c r="G58" s="0" t="inlineStr">
        <is>
          <t xml:space="preserve">Pretoria/ sandton</t>
        </is>
      </c>
      <c r="H58" s="0" t="inlineStr">
        <is>
          <t xml:space="preserve">Breakdown</t>
        </is>
      </c>
      <c r="I58" s="0" t="inlineStr">
        <is>
          <t xml:space="preserve">Normal</t>
        </is>
      </c>
      <c r="J58" s="0" t="inlineStr">
        <is>
          <t xml:space="preserve">07:00</t>
        </is>
      </c>
      <c r="K58" s="0" t="inlineStr">
        <is>
          <t xml:space="preserve">16:00</t>
        </is>
      </c>
      <c r="L58" s="9">
        <v>9</v>
      </c>
      <c r="M58" s="9">
        <v>9</v>
      </c>
      <c r="N58" s="6"/>
      <c r="O58" s="10">
        <f>IF(N58&lt;&gt;"",N58,M58)</f>
      </c>
      <c r="P58" s="4">
        <v>855</v>
      </c>
      <c r="Q58" s="7"/>
      <c r="R58" s="5">
        <f>IF(Q58&lt;&gt;"",Q58,IF(N58&lt;&gt;"",IF(M58&gt;0,ROUND(P58*N58/M58,2),0),P58))</f>
      </c>
      <c r="S58" s="9">
        <v>95</v>
      </c>
      <c r="T58" s="0" t="inlineStr">
        <is>
          <t xml:space="preserve">Venue/event: 9 h × R95</t>
        </is>
      </c>
      <c r="U58" s="6"/>
    </row>
    <row r="59">
      <c r="A59" s="0">
        <v>9935</v>
      </c>
      <c r="B59" s="0" t="inlineStr">
        <is>
          <t xml:space="preserve">Joshua Motsamai Nteo</t>
        </is>
      </c>
      <c r="C59" s="0" t="inlineStr">
        <is>
          <t xml:space="preserve">2026-09-29</t>
        </is>
      </c>
      <c r="D59" s="0" t="inlineStr">
        <is>
          <t xml:space="preserve">Tuesday</t>
        </is>
      </c>
      <c r="F59" s="0" t="inlineStr">
        <is>
          <t xml:space="preserve">Warehouse</t>
        </is>
      </c>
      <c r="G59" s="0" t="inlineStr">
        <is>
          <t xml:space="preserve">Meyerton</t>
        </is>
      </c>
      <c r="H59" s="0" t="inlineStr">
        <is>
          <t xml:space="preserve">Loading for events</t>
        </is>
      </c>
      <c r="I59" s="0" t="inlineStr">
        <is>
          <t xml:space="preserve">Normal</t>
        </is>
      </c>
      <c r="J59" s="0" t="inlineStr">
        <is>
          <t xml:space="preserve">07:00</t>
        </is>
      </c>
      <c r="K59" s="0" t="inlineStr">
        <is>
          <t xml:space="preserve">16:00</t>
        </is>
      </c>
      <c r="L59" s="9">
        <v>9</v>
      </c>
      <c r="M59" s="9">
        <v>9</v>
      </c>
      <c r="N59" s="6"/>
      <c r="O59" s="10">
        <f>IF(N59&lt;&gt;"",N59,M59)</f>
      </c>
      <c r="P59" s="4">
        <v>690.63</v>
      </c>
      <c r="Q59" s="7"/>
      <c r="R59" s="5">
        <f>IF(Q59&lt;&gt;"",Q59,IF(N59&lt;&gt;"",IF(M59&gt;0,ROUND(P59*N59/M59,2),0),P59))</f>
      </c>
      <c r="S59" s="9">
        <v>81.25</v>
      </c>
      <c r="T59" s="0" t="inlineStr">
        <is>
          <t xml:space="preserve">OWNER CORRECTION: Owner 30 Sep 2026: same team, same rate — Tue 29 Sep whole team loading at the warehouse for Sunbet = Warehouse 9 h − 0.5 h meeting = 8.5 h × R81,25 = R690,63 (owner chose Warehouse for Patrick, Bhekizitha, Daniel, Erence, Taka the same day).</t>
        </is>
      </c>
      <c r="U59" s="6"/>
      <c r="V59" s="0" t="inlineStr">
        <is>
          <t xml:space="preserve">#10271</t>
        </is>
      </c>
    </row>
    <row r="60">
      <c r="A60" s="0">
        <v>9934</v>
      </c>
      <c r="B60" s="0" t="inlineStr">
        <is>
          <t xml:space="preserve">Joshua Motsamai Nteo</t>
        </is>
      </c>
      <c r="C60" s="0" t="inlineStr">
        <is>
          <t xml:space="preserve">2026-09-30</t>
        </is>
      </c>
      <c r="D60" s="0" t="inlineStr">
        <is>
          <t xml:space="preserve">Wednesday</t>
        </is>
      </c>
      <c r="F60" s="0" t="inlineStr">
        <is>
          <t xml:space="preserve">Sunbet arena</t>
        </is>
      </c>
      <c r="G60" s="0" t="inlineStr">
        <is>
          <t xml:space="preserve">Pretoria</t>
        </is>
      </c>
      <c r="H60" s="0" t="inlineStr">
        <is>
          <t xml:space="preserve">Setup</t>
        </is>
      </c>
      <c r="I60" s="0" t="inlineStr">
        <is>
          <t xml:space="preserve">Normal</t>
        </is>
      </c>
      <c r="J60" s="0" t="inlineStr">
        <is>
          <t xml:space="preserve">07:00</t>
        </is>
      </c>
      <c r="K60" s="0" t="inlineStr">
        <is>
          <t xml:space="preserve">16:00</t>
        </is>
      </c>
      <c r="L60" s="9">
        <v>9</v>
      </c>
      <c r="M60" s="9">
        <v>9</v>
      </c>
      <c r="N60" s="6"/>
      <c r="O60" s="10">
        <f>IF(N60&lt;&gt;"",N60,M60)</f>
      </c>
      <c r="P60" s="4">
        <v>855</v>
      </c>
      <c r="Q60" s="7"/>
      <c r="R60" s="5">
        <f>IF(Q60&lt;&gt;"",Q60,IF(N60&lt;&gt;"",IF(M60&gt;0,ROUND(P60*N60/M60,2),0),P60))</f>
      </c>
      <c r="S60" s="9">
        <v>95</v>
      </c>
      <c r="T60" s="0" t="inlineStr">
        <is>
          <t xml:space="preserve">Venue/event: 9 h × R95</t>
        </is>
      </c>
      <c r="U60" s="6"/>
    </row>
    <row r="61">
      <c r="A61" s="0">
        <v>9933</v>
      </c>
      <c r="B61" s="0" t="inlineStr">
        <is>
          <t xml:space="preserve">Joshua Motsamai Nteo</t>
        </is>
      </c>
      <c r="C61" s="0" t="inlineStr">
        <is>
          <t xml:space="preserve">2026-10-01</t>
        </is>
      </c>
      <c r="D61" s="0" t="inlineStr">
        <is>
          <t xml:space="preserve">Thursday</t>
        </is>
      </c>
      <c r="F61" s="0" t="inlineStr">
        <is>
          <t xml:space="preserve">Botanical gardens</t>
        </is>
      </c>
      <c r="G61" s="0" t="inlineStr">
        <is>
          <t xml:space="preserve">Pretoria</t>
        </is>
      </c>
      <c r="H61" s="0" t="inlineStr">
        <is>
          <t xml:space="preserve">Setup</t>
        </is>
      </c>
      <c r="I61" s="0" t="inlineStr">
        <is>
          <t xml:space="preserve">Normal</t>
        </is>
      </c>
      <c r="J61" s="0" t="inlineStr">
        <is>
          <t xml:space="preserve">07:00</t>
        </is>
      </c>
      <c r="K61" s="0" t="inlineStr">
        <is>
          <t xml:space="preserve">16:00</t>
        </is>
      </c>
      <c r="L61" s="9">
        <v>9</v>
      </c>
      <c r="M61" s="9">
        <v>9</v>
      </c>
      <c r="N61" s="6"/>
      <c r="O61" s="10">
        <f>IF(N61&lt;&gt;"",N61,M61)</f>
      </c>
      <c r="P61" s="4">
        <v>855</v>
      </c>
      <c r="Q61" s="7"/>
      <c r="R61" s="5">
        <f>IF(Q61&lt;&gt;"",Q61,IF(N61&lt;&gt;"",IF(M61&gt;0,ROUND(P61*N61/M61,2),0),P61))</f>
      </c>
      <c r="S61" s="9">
        <v>95</v>
      </c>
      <c r="T61" s="0" t="inlineStr">
        <is>
          <t xml:space="preserve">Venue/event: 9 h × R95</t>
        </is>
      </c>
      <c r="U61" s="6"/>
    </row>
    <row r="62">
      <c r="A62" s="0">
        <v>9932</v>
      </c>
      <c r="B62" s="0" t="inlineStr">
        <is>
          <t xml:space="preserve">Joshua Motsamai Nteo</t>
        </is>
      </c>
      <c r="C62" s="0" t="inlineStr">
        <is>
          <t xml:space="preserve">2026-10-02</t>
        </is>
      </c>
      <c r="D62" s="0" t="inlineStr">
        <is>
          <t xml:space="preserve">Friday</t>
        </is>
      </c>
      <c r="F62" s="0" t="inlineStr">
        <is>
          <t xml:space="preserve">Cielo</t>
        </is>
      </c>
      <c r="G62" s="0" t="inlineStr">
        <is>
          <t xml:space="preserve">Benoni</t>
        </is>
      </c>
      <c r="H62" s="0" t="inlineStr">
        <is>
          <t xml:space="preserve">Setup</t>
        </is>
      </c>
      <c r="I62" s="0" t="inlineStr">
        <is>
          <t xml:space="preserve">Normal</t>
        </is>
      </c>
      <c r="J62" s="0" t="inlineStr">
        <is>
          <t xml:space="preserve">07:00</t>
        </is>
      </c>
      <c r="K62" s="0" t="inlineStr">
        <is>
          <t xml:space="preserve">16:00</t>
        </is>
      </c>
      <c r="L62" s="9">
        <v>9</v>
      </c>
      <c r="M62" s="9">
        <v>9</v>
      </c>
      <c r="N62" s="6"/>
      <c r="O62" s="10">
        <f>IF(N62&lt;&gt;"",N62,M62)</f>
      </c>
      <c r="P62" s="4">
        <v>855</v>
      </c>
      <c r="Q62" s="7"/>
      <c r="R62" s="5">
        <f>IF(Q62&lt;&gt;"",Q62,IF(N62&lt;&gt;"",IF(M62&gt;0,ROUND(P62*N62/M62,2),0),P62))</f>
      </c>
      <c r="S62" s="9">
        <v>95</v>
      </c>
      <c r="T62" s="0" t="inlineStr">
        <is>
          <t xml:space="preserve">Venue/event: 9 h × R95</t>
        </is>
      </c>
      <c r="U62" s="6"/>
    </row>
    <row r="63">
      <c r="A63" s="0">
        <v>9863</v>
      </c>
      <c r="B63" s="0" t="inlineStr">
        <is>
          <t xml:space="preserve">Lebo Lebo</t>
        </is>
      </c>
      <c r="C63" s="0" t="inlineStr">
        <is>
          <t xml:space="preserve">2026-09-26</t>
        </is>
      </c>
      <c r="D63" s="0" t="inlineStr">
        <is>
          <t xml:space="preserve">Saturday</t>
        </is>
      </c>
      <c r="F63" s="0" t="inlineStr">
        <is>
          <t xml:space="preserve">Sonop(Brooklyn Pretoria)</t>
        </is>
      </c>
      <c r="G63" s="0" t="inlineStr">
        <is>
          <t xml:space="preserve">Brooklyn Pretoria</t>
        </is>
      </c>
      <c r="H63" s="0" t="inlineStr">
        <is>
          <t xml:space="preserve">Setup</t>
        </is>
      </c>
      <c r="I63" s="0" t="inlineStr">
        <is>
          <t xml:space="preserve">Normal</t>
        </is>
      </c>
      <c r="J63" s="0" t="inlineStr">
        <is>
          <t xml:space="preserve">06:00</t>
        </is>
      </c>
      <c r="K63" s="0" t="inlineStr">
        <is>
          <t xml:space="preserve">14:00</t>
        </is>
      </c>
      <c r="L63" s="9">
        <v>8</v>
      </c>
      <c r="M63" s="9">
        <v>8</v>
      </c>
      <c r="N63" s="6"/>
      <c r="O63" s="10">
        <f>IF(N63&lt;&gt;"",N63,M63)</f>
      </c>
      <c r="P63" s="4">
        <v>600</v>
      </c>
      <c r="Q63" s="7"/>
      <c r="R63" s="5">
        <f>IF(Q63&lt;&gt;"",Q63,IF(N63&lt;&gt;"",IF(M63&gt;0,ROUND(P63*N63/M63,2),0),P63))</f>
      </c>
      <c r="S63" s="9">
        <v>75</v>
      </c>
      <c r="T63" s="0" t="inlineStr">
        <is>
          <t xml:space="preserve">OWNER CORRECTION: Owner 29 Sep: Sonop setup — Solomon's team worked to 14:00; student VENUE rate R75/h. 06:00–14:00 = 8 h × R75 = R600,00</t>
        </is>
      </c>
      <c r="U63" s="6"/>
    </row>
    <row r="64">
      <c r="A64" s="0">
        <v>9867</v>
      </c>
      <c r="B64" s="0" t="inlineStr">
        <is>
          <t xml:space="preserve">Lebo Lebo</t>
        </is>
      </c>
      <c r="C64" s="0" t="inlineStr">
        <is>
          <t xml:space="preserve">2026-09-27</t>
        </is>
      </c>
      <c r="D64" s="0" t="inlineStr">
        <is>
          <t xml:space="preserve">Sunday</t>
        </is>
      </c>
      <c r="F64" s="0" t="inlineStr">
        <is>
          <t xml:space="preserve">Warehouse</t>
        </is>
      </c>
      <c r="G64" s="0" t="inlineStr">
        <is>
          <t xml:space="preserve">Highbury</t>
        </is>
      </c>
      <c r="H64" s="0" t="inlineStr">
        <is>
          <t xml:space="preserve">Off loading + preparing load</t>
        </is>
      </c>
      <c r="I64" s="0" t="inlineStr">
        <is>
          <t xml:space="preserve">Normal</t>
        </is>
      </c>
      <c r="J64" s="0" t="inlineStr">
        <is>
          <t xml:space="preserve">07:00</t>
        </is>
      </c>
      <c r="K64" s="0" t="inlineStr">
        <is>
          <t xml:space="preserve">11:30</t>
        </is>
      </c>
      <c r="L64" s="9">
        <v>4.5</v>
      </c>
      <c r="M64" s="9">
        <v>4.5</v>
      </c>
      <c r="N64" s="6"/>
      <c r="O64" s="10">
        <f>IF(N64&lt;&gt;"",N64,M64)</f>
      </c>
      <c r="P64" s="4">
        <v>337.5</v>
      </c>
      <c r="Q64" s="7"/>
      <c r="R64" s="5">
        <f>IF(Q64&lt;&gt;"",Q64,IF(N64&lt;&gt;"",IF(M64&gt;0,ROUND(P64*N64/M64,2),0),P64))</f>
      </c>
      <c r="S64" s="9">
        <v>75</v>
      </c>
      <c r="T64" s="0" t="inlineStr">
        <is>
          <t xml:space="preserve">OWNER CORRECTION: Owner 28 Sep: Lebo Sunday rate is ×1.5 = R75/h (was priced ×1.2 = R60). 4,5 h × R75 = R337,50</t>
        </is>
      </c>
      <c r="U64" s="6"/>
    </row>
    <row r="65">
      <c r="A65" s="0">
        <v>9877</v>
      </c>
      <c r="B65" s="0" t="inlineStr">
        <is>
          <t xml:space="preserve">Lebo Lebo</t>
        </is>
      </c>
      <c r="C65" s="0" t="inlineStr">
        <is>
          <t xml:space="preserve">2026-09-28</t>
        </is>
      </c>
      <c r="D65" s="0" t="inlineStr">
        <is>
          <t xml:space="preserve">Monday</t>
        </is>
      </c>
      <c r="F65" s="0" t="inlineStr">
        <is>
          <t xml:space="preserve">Sonop + protea hotel</t>
        </is>
      </c>
      <c r="G65" s="0" t="inlineStr">
        <is>
          <t xml:space="preserve">Pretoria + wanderes</t>
        </is>
      </c>
      <c r="H65" s="0" t="inlineStr">
        <is>
          <t xml:space="preserve">Collection</t>
        </is>
      </c>
      <c r="I65" s="0" t="inlineStr">
        <is>
          <t xml:space="preserve">Normal</t>
        </is>
      </c>
      <c r="J65" s="0" t="inlineStr">
        <is>
          <t xml:space="preserve">07:00</t>
        </is>
      </c>
      <c r="K65" s="0" t="inlineStr">
        <is>
          <t xml:space="preserve">16:00</t>
        </is>
      </c>
      <c r="L65" s="9">
        <v>9</v>
      </c>
      <c r="M65" s="9">
        <v>9</v>
      </c>
      <c r="N65" s="6"/>
      <c r="O65" s="10">
        <f>IF(N65&lt;&gt;"",N65,M65)</f>
      </c>
      <c r="P65" s="4">
        <v>675</v>
      </c>
      <c r="Q65" s="7"/>
      <c r="R65" s="5">
        <f>IF(Q65&lt;&gt;"",Q65,IF(N65&lt;&gt;"",IF(M65&gt;0,ROUND(P65*N65/M65,2),0),P65))</f>
      </c>
      <c r="S65" s="9">
        <v>75</v>
      </c>
      <c r="T65" s="0" t="inlineStr">
        <is>
          <t xml:space="preserve">OWNER CORRECTION: Owner 29 Sep: collection (Sonop + Protea Hotel) = student VENUE rate R75/h. 9 h × R75 = R675,00</t>
        </is>
      </c>
      <c r="U65" s="6"/>
    </row>
    <row r="66">
      <c r="A66" s="0">
        <v>9879</v>
      </c>
      <c r="B66" s="0" t="inlineStr">
        <is>
          <t xml:space="preserve">Lebo Lebo</t>
        </is>
      </c>
      <c r="C66" s="0" t="inlineStr">
        <is>
          <t xml:space="preserve">2026-09-29</t>
        </is>
      </c>
      <c r="D66" s="0" t="inlineStr">
        <is>
          <t xml:space="preserve">Tuesday</t>
        </is>
      </c>
      <c r="F66" s="0" t="inlineStr">
        <is>
          <t xml:space="preserve">Warehouse</t>
        </is>
      </c>
      <c r="G66" s="0" t="inlineStr">
        <is>
          <t xml:space="preserve">Highbury</t>
        </is>
      </c>
      <c r="H66" s="0" t="inlineStr">
        <is>
          <t xml:space="preserve">Loading</t>
        </is>
      </c>
      <c r="I66" s="0" t="inlineStr">
        <is>
          <t xml:space="preserve">Normal</t>
        </is>
      </c>
      <c r="J66" s="0" t="inlineStr">
        <is>
          <t xml:space="preserve">07:00</t>
        </is>
      </c>
      <c r="K66" s="0" t="inlineStr">
        <is>
          <t xml:space="preserve">16:00</t>
        </is>
      </c>
      <c r="L66" s="9">
        <v>9</v>
      </c>
      <c r="M66" s="9">
        <v>9</v>
      </c>
      <c r="N66" s="6"/>
      <c r="O66" s="10">
        <f>IF(N66&lt;&gt;"",N66,M66)</f>
      </c>
      <c r="P66" s="4">
        <v>450</v>
      </c>
      <c r="Q66" s="7"/>
      <c r="R66" s="5">
        <f>IF(Q66&lt;&gt;"",Q66,IF(N66&lt;&gt;"",IF(M66&gt;0,ROUND(P66*N66/M66,2),0),P66))</f>
      </c>
      <c r="S66" s="9">
        <v>50</v>
      </c>
      <c r="T66" s="0" t="inlineStr">
        <is>
          <t xml:space="preserve">Student warehouse: 9 h × R50 (no meeting deduction)</t>
        </is>
      </c>
      <c r="U66" s="6"/>
    </row>
    <row r="67">
      <c r="A67" s="0">
        <v>9870</v>
      </c>
      <c r="B67" s="0" t="inlineStr">
        <is>
          <t xml:space="preserve">Patrick Ngozo</t>
        </is>
      </c>
      <c r="C67" s="0" t="inlineStr">
        <is>
          <t xml:space="preserve">2026-09-25</t>
        </is>
      </c>
      <c r="D67" s="0" t="inlineStr">
        <is>
          <t xml:space="preserve">Friday</t>
        </is>
      </c>
      <c r="E67" s="0" t="inlineStr">
        <is>
          <t xml:space="preserve">YES</t>
        </is>
      </c>
      <c r="F67" s="0" t="inlineStr">
        <is>
          <t xml:space="preserve">Pretoria Country Club</t>
        </is>
      </c>
      <c r="G67" s="0" t="inlineStr">
        <is>
          <t xml:space="preserve">Pretoria</t>
        </is>
      </c>
      <c r="H67" s="0" t="inlineStr">
        <is>
          <t xml:space="preserve">Set up golf day</t>
        </is>
      </c>
      <c r="I67" s="0" t="inlineStr">
        <is>
          <t xml:space="preserve">Normal</t>
        </is>
      </c>
      <c r="J67" s="0" t="inlineStr">
        <is>
          <t xml:space="preserve">05:00</t>
        </is>
      </c>
      <c r="K67" s="0" t="inlineStr">
        <is>
          <t xml:space="preserve">07:00</t>
        </is>
      </c>
      <c r="L67" s="9">
        <v>2</v>
      </c>
      <c r="M67" s="9">
        <v>1.5</v>
      </c>
      <c r="N67" s="6"/>
      <c r="O67" s="10">
        <f>IF(N67&lt;&gt;"",N67,M67)</f>
      </c>
      <c r="P67" s="4">
        <v>142.5</v>
      </c>
      <c r="Q67" s="7"/>
      <c r="R67" s="5">
        <f>IF(Q67&lt;&gt;"",Q67,IF(N67&lt;&gt;"",IF(M67&gt;0,ROUND(P67*N67/M67,2),0),P67))</f>
      </c>
      <c r="S67" s="9">
        <v>95</v>
      </c>
      <c r="T67" s="0" t="inlineStr">
        <is>
          <t xml:space="preserve">OWNER CORRECTION: Owner 27 Sep: Fri 25 Sep 06:30–16:00 was already paid last payroll (shift #9839, R902,50). Of this 05:00–07:00 entry only 05:00–06:30 is new: 1,5 h × R95 = R142,50. The 06:30–07:00 overlap (0,5 h) is already in #9839.</t>
        </is>
      </c>
      <c r="U67" s="6"/>
      <c r="V67" s="0" t="inlineStr">
        <is>
          <t xml:space="preserve">#10173</t>
        </is>
      </c>
      <c r="W67" s="0" t="inlineStr">
        <is>
          <t xml:space="preserve">OVERLAP: already paid 06:30–16:00 (Pretoria Country Club, R902,50, payroll n/a) on this day. | #10168 Manual overlap review: the same employee has another overlapping entry on 2026-09-25 for 05:00-07:00. | #10173 ALREADY PAID — this claim is covered by what was paid: Patrick was paid Fri 25 Sep 2026 06:30–16:00 · Pretoria Country Club (Pretoria) · Normal · "Set up Golf ⛳️  course" · 9.50 h × R95,00 = R902,50 (payroll 2026-09-19). He now claims 05:00–07:00 · Pretoria Country Club (Pretoria) · Normal · "Set up golf day" · 2.00 h for the same day. Same work type, but the rate paid (R95,00/h) differs from the rule (R95,00/h). • Rate correction on the paid hours 06:30–07:00: 0.50 h — worth R47,50 at the correct rule, R902,50 was paid → −R855,00 • Extra hours 05:00–06:30: 1.50 h → R142,50 What was paid (R902,50) already covers this claim (R190,00 at the correct rule). Nothing more is due: R0,00. Hours from Wednesday onwards are estimated for the auditor run; this entry corrects them. Bernie to approve — nothing has been changed. System recommended 1.50 h.</t>
        </is>
      </c>
      <c r="X67" s="0" t="inlineStr">
        <is>
          <t xml:space="preserve">#10168 DECIDED 2.00 h by Bernie Burness 2026-09-27 14:15: Approved. | #10173 DECIDED 1.50 h by Bernie Burness 2026-09-27 14:20: Owner 27 Sep: already paid 06:30–16:00 on #9839 (R902,50). Only the uncovered 05:00–06:30 = 1,5 h × R95 = R142,50 is due on #9870 — row set to R142,50.</t>
        </is>
      </c>
    </row>
    <row r="68">
      <c r="A68" s="0">
        <v>9871</v>
      </c>
      <c r="B68" s="0" t="inlineStr">
        <is>
          <t xml:space="preserve">Patrick Ngozo</t>
        </is>
      </c>
      <c r="C68" s="0" t="inlineStr">
        <is>
          <t xml:space="preserve">2026-09-25</t>
        </is>
      </c>
      <c r="D68" s="0" t="inlineStr">
        <is>
          <t xml:space="preserve">Friday</t>
        </is>
      </c>
      <c r="E68" s="0" t="inlineStr">
        <is>
          <t xml:space="preserve">YES</t>
        </is>
      </c>
      <c r="F68" s="0" t="inlineStr">
        <is>
          <t xml:space="preserve">Pretoria Country Club</t>
        </is>
      </c>
      <c r="G68" s="0" t="inlineStr">
        <is>
          <t xml:space="preserve">Pretoria</t>
        </is>
      </c>
      <c r="H68" s="0" t="inlineStr">
        <is>
          <t xml:space="preserve">Breakdown</t>
        </is>
      </c>
      <c r="I68" s="0" t="inlineStr">
        <is>
          <t xml:space="preserve">Normal</t>
        </is>
      </c>
      <c r="J68" s="0" t="inlineStr">
        <is>
          <t xml:space="preserve">16:00</t>
        </is>
      </c>
      <c r="K68" s="0" t="inlineStr">
        <is>
          <t xml:space="preserve">19:00</t>
        </is>
      </c>
      <c r="L68" s="9">
        <v>3</v>
      </c>
      <c r="M68" s="9">
        <v>3</v>
      </c>
      <c r="N68" s="6"/>
      <c r="O68" s="10">
        <f>IF(N68&lt;&gt;"",N68,M68)</f>
      </c>
      <c r="P68" s="4">
        <v>285</v>
      </c>
      <c r="Q68" s="7"/>
      <c r="R68" s="5">
        <f>IF(Q68&lt;&gt;"",Q68,IF(N68&lt;&gt;"",IF(M68&gt;0,ROUND(P68*N68/M68,2),0),P68))</f>
      </c>
      <c r="S68" s="9">
        <v>95</v>
      </c>
      <c r="T68" s="0" t="inlineStr">
        <is>
          <t xml:space="preserve">Venue/event: 3 h × R95</t>
        </is>
      </c>
      <c r="U68" s="6"/>
      <c r="W68" s="0" t="inlineStr">
        <is>
          <t xml:space="preserve">CLEAR: worked 06:30–16:00 that day (paid in payroll n/a); these hours are outside those times.</t>
        </is>
      </c>
      <c r="X68" s="0" t="inlineStr">
        <is>
          <t xml:space="preserve">No review needed</t>
        </is>
      </c>
    </row>
    <row r="69">
      <c r="A69" s="0">
        <v>9869</v>
      </c>
      <c r="B69" s="0" t="inlineStr">
        <is>
          <t xml:space="preserve">Patrick Ngozo</t>
        </is>
      </c>
      <c r="C69" s="0" t="inlineStr">
        <is>
          <t xml:space="preserve">2026-09-26</t>
        </is>
      </c>
      <c r="D69" s="0" t="inlineStr">
        <is>
          <t xml:space="preserve">Saturday</t>
        </is>
      </c>
      <c r="F69" s="0" t="inlineStr">
        <is>
          <t xml:space="preserve">Brooklyn</t>
        </is>
      </c>
      <c r="G69" s="0" t="inlineStr">
        <is>
          <t xml:space="preserve">Pretoria</t>
        </is>
      </c>
      <c r="H69" s="0" t="inlineStr">
        <is>
          <t xml:space="preserve">Set up CDMA</t>
        </is>
      </c>
      <c r="I69" s="0" t="inlineStr">
        <is>
          <t xml:space="preserve">Normal</t>
        </is>
      </c>
      <c r="J69" s="0" t="inlineStr">
        <is>
          <t xml:space="preserve">06:00</t>
        </is>
      </c>
      <c r="K69" s="0" t="inlineStr">
        <is>
          <t xml:space="preserve">13:00</t>
        </is>
      </c>
      <c r="L69" s="9">
        <v>7</v>
      </c>
      <c r="M69" s="9">
        <v>7</v>
      </c>
      <c r="N69" s="6"/>
      <c r="O69" s="10">
        <f>IF(N69&lt;&gt;"",N69,M69)</f>
      </c>
      <c r="P69" s="4">
        <v>665</v>
      </c>
      <c r="Q69" s="7"/>
      <c r="R69" s="5">
        <f>IF(Q69&lt;&gt;"",Q69,IF(N69&lt;&gt;"",IF(M69&gt;0,ROUND(P69*N69/M69,2),0),P69))</f>
      </c>
      <c r="S69" s="9">
        <v>95</v>
      </c>
      <c r="T69" s="0" t="inlineStr">
        <is>
          <t xml:space="preserve">OWNER CORRECTION: Approved.</t>
        </is>
      </c>
      <c r="U69" s="6"/>
    </row>
    <row r="70">
      <c r="A70" s="0">
        <v>9875</v>
      </c>
      <c r="B70" s="0" t="inlineStr">
        <is>
          <t xml:space="preserve">Patrick Ngozo</t>
        </is>
      </c>
      <c r="C70" s="0" t="inlineStr">
        <is>
          <t xml:space="preserve">2026-09-28</t>
        </is>
      </c>
      <c r="D70" s="0" t="inlineStr">
        <is>
          <t xml:space="preserve">Monday</t>
        </is>
      </c>
      <c r="F70" s="0" t="inlineStr">
        <is>
          <t xml:space="preserve">Protea hotel wanderer</t>
        </is>
      </c>
      <c r="G70" s="0" t="inlineStr">
        <is>
          <t xml:space="preserve">Johannesburg</t>
        </is>
      </c>
      <c r="H70" s="0" t="inlineStr">
        <is>
          <t xml:space="preserve">Breakdown</t>
        </is>
      </c>
      <c r="I70" s="0" t="inlineStr">
        <is>
          <t xml:space="preserve">Normal</t>
        </is>
      </c>
      <c r="J70" s="0" t="inlineStr">
        <is>
          <t xml:space="preserve">06:30</t>
        </is>
      </c>
      <c r="K70" s="0" t="inlineStr">
        <is>
          <t xml:space="preserve">16:00</t>
        </is>
      </c>
      <c r="L70" s="9">
        <v>9.5</v>
      </c>
      <c r="M70" s="9">
        <v>9.5</v>
      </c>
      <c r="N70" s="6"/>
      <c r="O70" s="10">
        <f>IF(N70&lt;&gt;"",N70,M70)</f>
      </c>
      <c r="P70" s="4">
        <v>902.5</v>
      </c>
      <c r="Q70" s="7"/>
      <c r="R70" s="5">
        <f>IF(Q70&lt;&gt;"",Q70,IF(N70&lt;&gt;"",IF(M70&gt;0,ROUND(P70*N70/M70,2),0),P70))</f>
      </c>
      <c r="S70" s="9">
        <v>95</v>
      </c>
      <c r="T70" s="0" t="inlineStr">
        <is>
          <t xml:space="preserve">Venue/event: 9.5 h × R95</t>
        </is>
      </c>
      <c r="U70" s="6"/>
    </row>
    <row r="71">
      <c r="A71" s="0">
        <v>9878</v>
      </c>
      <c r="B71" s="0" t="inlineStr">
        <is>
          <t xml:space="preserve">Patrick Ngozo</t>
        </is>
      </c>
      <c r="C71" s="0" t="inlineStr">
        <is>
          <t xml:space="preserve">2026-09-29</t>
        </is>
      </c>
      <c r="D71" s="0" t="inlineStr">
        <is>
          <t xml:space="preserve">Tuesday</t>
        </is>
      </c>
      <c r="F71" s="0" t="inlineStr">
        <is>
          <t xml:space="preserve">Wearhouse</t>
        </is>
      </c>
      <c r="G71" s="0" t="inlineStr">
        <is>
          <t xml:space="preserve">Meyerton</t>
        </is>
      </c>
      <c r="H71" s="0" t="inlineStr">
        <is>
          <t xml:space="preserve">Loading SundBet</t>
        </is>
      </c>
      <c r="I71" s="0" t="inlineStr">
        <is>
          <t xml:space="preserve">Normal</t>
        </is>
      </c>
      <c r="J71" s="0" t="inlineStr">
        <is>
          <t xml:space="preserve">06:30</t>
        </is>
      </c>
      <c r="K71" s="0" t="inlineStr">
        <is>
          <t xml:space="preserve">16:00</t>
        </is>
      </c>
      <c r="L71" s="9">
        <v>9.5</v>
      </c>
      <c r="M71" s="9">
        <v>9.5</v>
      </c>
      <c r="N71" s="6"/>
      <c r="O71" s="10">
        <f>IF(N71&lt;&gt;"",N71,M71)</f>
      </c>
      <c r="P71" s="4">
        <v>731.25</v>
      </c>
      <c r="Q71" s="7"/>
      <c r="R71" s="5">
        <f>IF(Q71&lt;&gt;"",Q71,IF(N71&lt;&gt;"",IF(M71&gt;0,ROUND(P71*N71/M71,2),0),P71))</f>
      </c>
      <c r="S71" s="9">
        <v>81.25</v>
      </c>
      <c r="T71" s="0" t="inlineStr">
        <is>
          <t xml:space="preserve">Warehouse: 9.5 h − 0.5 h staff meeting 07:00–07:30 (unpaid, R40,63) = 9 h × R81,25</t>
        </is>
      </c>
      <c r="U71" s="6"/>
      <c r="V71" s="0" t="inlineStr">
        <is>
          <t xml:space="preserve">#10189</t>
        </is>
      </c>
    </row>
    <row r="72">
      <c r="A72" s="0">
        <v>9901</v>
      </c>
      <c r="B72" s="0" t="inlineStr">
        <is>
          <t xml:space="preserve">Patrick Ngozo</t>
        </is>
      </c>
      <c r="C72" s="0" t="inlineStr">
        <is>
          <t xml:space="preserve">2026-09-30</t>
        </is>
      </c>
      <c r="D72" s="0" t="inlineStr">
        <is>
          <t xml:space="preserve">Wednesday</t>
        </is>
      </c>
      <c r="F72" s="0" t="inlineStr">
        <is>
          <t xml:space="preserve">SunBet</t>
        </is>
      </c>
      <c r="G72" s="0" t="inlineStr">
        <is>
          <t xml:space="preserve">Pretoria</t>
        </is>
      </c>
      <c r="H72" s="0" t="inlineStr">
        <is>
          <t xml:space="preserve">Set up castle lite</t>
        </is>
      </c>
      <c r="I72" s="0" t="inlineStr">
        <is>
          <t xml:space="preserve">Normal</t>
        </is>
      </c>
      <c r="J72" s="0" t="inlineStr">
        <is>
          <t xml:space="preserve">06:30</t>
        </is>
      </c>
      <c r="K72" s="0" t="inlineStr">
        <is>
          <t xml:space="preserve">16:00</t>
        </is>
      </c>
      <c r="L72" s="9">
        <v>9.5</v>
      </c>
      <c r="M72" s="9">
        <v>9.5</v>
      </c>
      <c r="N72" s="6"/>
      <c r="O72" s="10">
        <f>IF(N72&lt;&gt;"",N72,M72)</f>
      </c>
      <c r="P72" s="4">
        <v>902.5</v>
      </c>
      <c r="Q72" s="7"/>
      <c r="R72" s="5">
        <f>IF(Q72&lt;&gt;"",Q72,IF(N72&lt;&gt;"",IF(M72&gt;0,ROUND(P72*N72/M72,2),0),P72))</f>
      </c>
      <c r="S72" s="9">
        <v>95</v>
      </c>
      <c r="T72" s="0" t="inlineStr">
        <is>
          <t xml:space="preserve">Venue/event: 9.5 h × R95</t>
        </is>
      </c>
      <c r="U72" s="6"/>
    </row>
    <row r="73">
      <c r="A73" s="0">
        <v>9902</v>
      </c>
      <c r="B73" s="0" t="inlineStr">
        <is>
          <t xml:space="preserve">Patrick Ngozo</t>
        </is>
      </c>
      <c r="C73" s="0" t="inlineStr">
        <is>
          <t xml:space="preserve">2026-10-01</t>
        </is>
      </c>
      <c r="D73" s="0" t="inlineStr">
        <is>
          <t xml:space="preserve">Thursday</t>
        </is>
      </c>
      <c r="F73" s="0" t="inlineStr">
        <is>
          <t xml:space="preserve">Warehouse</t>
        </is>
      </c>
      <c r="G73" s="0" t="inlineStr">
        <is>
          <t xml:space="preserve">Meyerton</t>
        </is>
      </c>
      <c r="H73" s="0" t="inlineStr">
        <is>
          <t xml:space="preserve">Loading Polokwane</t>
        </is>
      </c>
      <c r="I73" s="0" t="inlineStr">
        <is>
          <t xml:space="preserve">Normal</t>
        </is>
      </c>
      <c r="J73" s="0" t="inlineStr">
        <is>
          <t xml:space="preserve">06:30</t>
        </is>
      </c>
      <c r="K73" s="0" t="inlineStr">
        <is>
          <t xml:space="preserve">16:00</t>
        </is>
      </c>
      <c r="L73" s="9">
        <v>9.5</v>
      </c>
      <c r="M73" s="9">
        <v>9.5</v>
      </c>
      <c r="N73" s="6"/>
      <c r="O73" s="10">
        <f>IF(N73&lt;&gt;"",N73,M73)</f>
      </c>
      <c r="P73" s="4">
        <v>902.5</v>
      </c>
      <c r="Q73" s="7"/>
      <c r="R73" s="5">
        <f>IF(Q73&lt;&gt;"",Q73,IF(N73&lt;&gt;"",IF(M73&gt;0,ROUND(P73*N73/M73,2),0),P73))</f>
      </c>
      <c r="S73" s="9">
        <v>95</v>
      </c>
      <c r="T73" s="0" t="inlineStr">
        <is>
          <t xml:space="preserve">Venue/event: 9.5 h × R95</t>
        </is>
      </c>
      <c r="U73" s="6"/>
      <c r="V73" s="0" t="inlineStr">
        <is>
          <t xml:space="preserve">#10234</t>
        </is>
      </c>
    </row>
    <row r="74">
      <c r="A74" s="0">
        <v>9903</v>
      </c>
      <c r="B74" s="0" t="inlineStr">
        <is>
          <t xml:space="preserve">Patrick Ngozo</t>
        </is>
      </c>
      <c r="C74" s="0" t="inlineStr">
        <is>
          <t xml:space="preserve">2026-10-02</t>
        </is>
      </c>
      <c r="D74" s="0" t="inlineStr">
        <is>
          <t xml:space="preserve">Friday</t>
        </is>
      </c>
      <c r="F74" s="0" t="inlineStr">
        <is>
          <t xml:space="preserve">Polokwane</t>
        </is>
      </c>
      <c r="G74" s="0" t="inlineStr">
        <is>
          <t xml:space="preserve">Limpopo</t>
        </is>
      </c>
      <c r="H74" s="0" t="inlineStr">
        <is>
          <t xml:space="preserve">Set up MXD</t>
        </is>
      </c>
      <c r="I74" s="0" t="inlineStr">
        <is>
          <t xml:space="preserve">Normal</t>
        </is>
      </c>
      <c r="J74" s="0" t="inlineStr">
        <is>
          <t xml:space="preserve">06:30</t>
        </is>
      </c>
      <c r="K74" s="0" t="inlineStr">
        <is>
          <t xml:space="preserve">16:00</t>
        </is>
      </c>
      <c r="L74" s="9">
        <v>9.5</v>
      </c>
      <c r="M74" s="9">
        <v>9.5</v>
      </c>
      <c r="N74" s="6"/>
      <c r="O74" s="10">
        <f>IF(N74&lt;&gt;"",N74,M74)</f>
      </c>
      <c r="P74" s="4">
        <v>902.5</v>
      </c>
      <c r="Q74" s="7"/>
      <c r="R74" s="5">
        <f>IF(Q74&lt;&gt;"",Q74,IF(N74&lt;&gt;"",IF(M74&gt;0,ROUND(P74*N74/M74,2),0),P74))</f>
      </c>
      <c r="S74" s="9">
        <v>95</v>
      </c>
      <c r="T74" s="0" t="inlineStr">
        <is>
          <t xml:space="preserve">Venue/event: 9.5 h × R95</t>
        </is>
      </c>
      <c r="U74" s="6"/>
    </row>
    <row r="75">
      <c r="A75" s="0">
        <v>9922</v>
      </c>
      <c r="B75" s="0" t="inlineStr">
        <is>
          <t xml:space="preserve">Solomon Moyo</t>
        </is>
      </c>
      <c r="C75" s="0" t="inlineStr">
        <is>
          <t xml:space="preserve">2026-09-26</t>
        </is>
      </c>
      <c r="D75" s="0" t="inlineStr">
        <is>
          <t xml:space="preserve">Saturday</t>
        </is>
      </c>
      <c r="F75" s="0" t="inlineStr">
        <is>
          <t xml:space="preserve">SONOP</t>
        </is>
      </c>
      <c r="G75" s="0" t="inlineStr">
        <is>
          <t xml:space="preserve">BROOKLYN</t>
        </is>
      </c>
      <c r="H75" s="0" t="inlineStr">
        <is>
          <t xml:space="preserve">Set up</t>
        </is>
      </c>
      <c r="I75" s="0" t="inlineStr">
        <is>
          <t xml:space="preserve">Normal</t>
        </is>
      </c>
      <c r="J75" s="0" t="inlineStr">
        <is>
          <t xml:space="preserve">06:00</t>
        </is>
      </c>
      <c r="K75" s="0" t="inlineStr">
        <is>
          <t xml:space="preserve">14:00</t>
        </is>
      </c>
      <c r="L75" s="9">
        <v>8</v>
      </c>
      <c r="M75" s="9">
        <v>8</v>
      </c>
      <c r="N75" s="6"/>
      <c r="O75" s="10">
        <f>IF(N75&lt;&gt;"",N75,M75)</f>
      </c>
      <c r="P75" s="4">
        <v>760</v>
      </c>
      <c r="Q75" s="7"/>
      <c r="R75" s="5">
        <f>IF(Q75&lt;&gt;"",Q75,IF(N75&lt;&gt;"",IF(M75&gt;0,ROUND(P75*N75/M75,2),0),P75))</f>
      </c>
      <c r="S75" s="9">
        <v>95</v>
      </c>
      <c r="T75" s="0" t="inlineStr">
        <is>
          <t xml:space="preserve">OWNER CORRECTION: Owner 29 Sep: Sonop setup — the whole team worked to 14:00 (owner confirmed). 06:00–14:00 = 8 h × R95 = R760,00</t>
        </is>
      </c>
      <c r="U75" s="6"/>
    </row>
    <row r="76">
      <c r="A76" s="0">
        <v>9920</v>
      </c>
      <c r="B76" s="0" t="inlineStr">
        <is>
          <t xml:space="preserve">Solomon Moyo</t>
        </is>
      </c>
      <c r="C76" s="0" t="inlineStr">
        <is>
          <t xml:space="preserve">2026-09-27</t>
        </is>
      </c>
      <c r="D76" s="0" t="inlineStr">
        <is>
          <t xml:space="preserve">Sunday</t>
        </is>
      </c>
      <c r="F76" s="0" t="inlineStr">
        <is>
          <t xml:space="preserve">Warehouse</t>
        </is>
      </c>
      <c r="G76" s="0" t="inlineStr">
        <is>
          <t xml:space="preserve">Midvaal</t>
        </is>
      </c>
      <c r="H76" s="0" t="inlineStr">
        <is>
          <t xml:space="preserve">OFFLOADING</t>
        </is>
      </c>
      <c r="I76" s="0" t="inlineStr">
        <is>
          <t xml:space="preserve">Normal</t>
        </is>
      </c>
      <c r="J76" s="0" t="inlineStr">
        <is>
          <t xml:space="preserve">07:00</t>
        </is>
      </c>
      <c r="K76" s="0" t="inlineStr">
        <is>
          <t xml:space="preserve">11:30</t>
        </is>
      </c>
      <c r="L76" s="9">
        <v>4.5</v>
      </c>
      <c r="M76" s="9">
        <v>4.5</v>
      </c>
      <c r="N76" s="6"/>
      <c r="O76" s="10">
        <f>IF(N76&lt;&gt;"",N76,M76)</f>
      </c>
      <c r="P76" s="4">
        <v>513</v>
      </c>
      <c r="Q76" s="7"/>
      <c r="R76" s="5">
        <f>IF(Q76&lt;&gt;"",Q76,IF(N76&lt;&gt;"",IF(M76&gt;0,ROUND(P76*N76/M76,2),0),P76))</f>
      </c>
      <c r="S76" s="9">
        <v>114</v>
      </c>
      <c r="T76" s="0" t="inlineStr">
        <is>
          <t xml:space="preserve">Venue/event Sunday: 4.5 h × R114 (R95 × 1.2)</t>
        </is>
      </c>
      <c r="U76" s="6"/>
    </row>
    <row r="77">
      <c r="A77" s="0">
        <v>9921</v>
      </c>
      <c r="B77" s="0" t="inlineStr">
        <is>
          <t xml:space="preserve">Solomon Moyo</t>
        </is>
      </c>
      <c r="C77" s="0" t="inlineStr">
        <is>
          <t xml:space="preserve">2026-09-28</t>
        </is>
      </c>
      <c r="D77" s="0" t="inlineStr">
        <is>
          <t xml:space="preserve">Monday</t>
        </is>
      </c>
      <c r="F77" s="0" t="inlineStr">
        <is>
          <t xml:space="preserve">ORLANDO &amp; WANDERERS</t>
        </is>
      </c>
      <c r="G77" s="0" t="inlineStr">
        <is>
          <t xml:space="preserve">JOHANNESBURG</t>
        </is>
      </c>
      <c r="H77" s="0" t="inlineStr">
        <is>
          <t xml:space="preserve">BREAKDOWN</t>
        </is>
      </c>
      <c r="I77" s="0" t="inlineStr">
        <is>
          <t xml:space="preserve">Normal</t>
        </is>
      </c>
      <c r="J77" s="0" t="inlineStr">
        <is>
          <t xml:space="preserve">07:00</t>
        </is>
      </c>
      <c r="K77" s="0" t="inlineStr">
        <is>
          <t xml:space="preserve">16:00</t>
        </is>
      </c>
      <c r="L77" s="9">
        <v>9</v>
      </c>
      <c r="M77" s="9">
        <v>9</v>
      </c>
      <c r="N77" s="6"/>
      <c r="O77" s="10">
        <f>IF(N77&lt;&gt;"",N77,M77)</f>
      </c>
      <c r="P77" s="4">
        <v>855</v>
      </c>
      <c r="Q77" s="7"/>
      <c r="R77" s="5">
        <f>IF(Q77&lt;&gt;"",Q77,IF(N77&lt;&gt;"",IF(M77&gt;0,ROUND(P77*N77/M77,2),0),P77))</f>
      </c>
      <c r="S77" s="9">
        <v>95</v>
      </c>
      <c r="T77" s="0" t="inlineStr">
        <is>
          <t xml:space="preserve">Venue/event: 9 h × R95</t>
        </is>
      </c>
      <c r="U77" s="6"/>
    </row>
    <row r="78">
      <c r="A78" s="0">
        <v>9919</v>
      </c>
      <c r="B78" s="0" t="inlineStr">
        <is>
          <t xml:space="preserve">Solomon Moyo</t>
        </is>
      </c>
      <c r="C78" s="0" t="inlineStr">
        <is>
          <t xml:space="preserve">2026-09-29</t>
        </is>
      </c>
      <c r="D78" s="0" t="inlineStr">
        <is>
          <t xml:space="preserve">Tuesday</t>
        </is>
      </c>
      <c r="F78" s="0" t="inlineStr">
        <is>
          <t xml:space="preserve">Warehouse</t>
        </is>
      </c>
      <c r="G78" s="0" t="inlineStr">
        <is>
          <t xml:space="preserve">Midvaal</t>
        </is>
      </c>
      <c r="H78" s="0" t="inlineStr">
        <is>
          <t xml:space="preserve">Loading</t>
        </is>
      </c>
      <c r="I78" s="0" t="inlineStr">
        <is>
          <t xml:space="preserve">Normal</t>
        </is>
      </c>
      <c r="J78" s="0" t="inlineStr">
        <is>
          <t xml:space="preserve">07:00</t>
        </is>
      </c>
      <c r="K78" s="0" t="inlineStr">
        <is>
          <t xml:space="preserve">16:00</t>
        </is>
      </c>
      <c r="L78" s="9">
        <v>9</v>
      </c>
      <c r="M78" s="9">
        <v>9</v>
      </c>
      <c r="N78" s="6"/>
      <c r="O78" s="10">
        <f>IF(N78&lt;&gt;"",N78,M78)</f>
      </c>
      <c r="P78" s="4">
        <v>690.63</v>
      </c>
      <c r="Q78" s="7"/>
      <c r="R78" s="5">
        <f>IF(Q78&lt;&gt;"",Q78,IF(N78&lt;&gt;"",IF(M78&gt;0,ROUND(P78*N78/M78,2),0),P78))</f>
      </c>
      <c r="S78" s="9">
        <v>81.25</v>
      </c>
      <c r="T78" s="0" t="inlineStr">
        <is>
          <t xml:space="preserve">OWNER CORRECTION: Owner 30 Sep 2026: same team, same rate — Tue 29 Sep whole team loading at the warehouse for Sunbet = Warehouse 9 h − 0.5 h meeting = 8.5 h × R81,25 = R690,63 (owner chose Warehouse for Patrick, Bhekizitha, Daniel, Erence, Taka the same day).</t>
        </is>
      </c>
      <c r="U78" s="6"/>
      <c r="V78" s="0" t="inlineStr">
        <is>
          <t xml:space="preserve">#10253</t>
        </is>
      </c>
    </row>
    <row r="79">
      <c r="A79" s="0">
        <v>9918</v>
      </c>
      <c r="B79" s="0" t="inlineStr">
        <is>
          <t xml:space="preserve">Solomon Moyo</t>
        </is>
      </c>
      <c r="C79" s="0" t="inlineStr">
        <is>
          <t xml:space="preserve">2026-09-30</t>
        </is>
      </c>
      <c r="D79" s="0" t="inlineStr">
        <is>
          <t xml:space="preserve">Wednesday</t>
        </is>
      </c>
      <c r="F79" s="0" t="inlineStr">
        <is>
          <t xml:space="preserve">SUN BET</t>
        </is>
      </c>
      <c r="G79" s="0" t="inlineStr">
        <is>
          <t xml:space="preserve">PRETORIA</t>
        </is>
      </c>
      <c r="H79" s="0" t="inlineStr">
        <is>
          <t xml:space="preserve">Set up</t>
        </is>
      </c>
      <c r="I79" s="0" t="inlineStr">
        <is>
          <t xml:space="preserve">Normal</t>
        </is>
      </c>
      <c r="J79" s="0" t="inlineStr">
        <is>
          <t xml:space="preserve">07:00</t>
        </is>
      </c>
      <c r="K79" s="0" t="inlineStr">
        <is>
          <t xml:space="preserve">16:00</t>
        </is>
      </c>
      <c r="L79" s="9">
        <v>9</v>
      </c>
      <c r="M79" s="9">
        <v>9</v>
      </c>
      <c r="N79" s="6"/>
      <c r="O79" s="10">
        <f>IF(N79&lt;&gt;"",N79,M79)</f>
      </c>
      <c r="P79" s="4">
        <v>855</v>
      </c>
      <c r="Q79" s="7"/>
      <c r="R79" s="5">
        <f>IF(Q79&lt;&gt;"",Q79,IF(N79&lt;&gt;"",IF(M79&gt;0,ROUND(P79*N79/M79,2),0),P79))</f>
      </c>
      <c r="S79" s="9">
        <v>95</v>
      </c>
      <c r="T79" s="0" t="inlineStr">
        <is>
          <t xml:space="preserve">Venue/event: 9 h × R95</t>
        </is>
      </c>
      <c r="U79" s="6"/>
    </row>
    <row r="80">
      <c r="A80" s="0">
        <v>9917</v>
      </c>
      <c r="B80" s="0" t="inlineStr">
        <is>
          <t xml:space="preserve">Solomon Moyo</t>
        </is>
      </c>
      <c r="C80" s="0" t="inlineStr">
        <is>
          <t xml:space="preserve">2026-10-01</t>
        </is>
      </c>
      <c r="D80" s="0" t="inlineStr">
        <is>
          <t xml:space="preserve">Thursday</t>
        </is>
      </c>
      <c r="F80" s="0" t="inlineStr">
        <is>
          <t xml:space="preserve">Botanical Gardens</t>
        </is>
      </c>
      <c r="G80" s="0" t="inlineStr">
        <is>
          <t xml:space="preserve">PRETORIA</t>
        </is>
      </c>
      <c r="H80" s="0" t="inlineStr">
        <is>
          <t xml:space="preserve">Set up</t>
        </is>
      </c>
      <c r="I80" s="0" t="inlineStr">
        <is>
          <t xml:space="preserve">Normal</t>
        </is>
      </c>
      <c r="J80" s="0" t="inlineStr">
        <is>
          <t xml:space="preserve">07:00</t>
        </is>
      </c>
      <c r="K80" s="0" t="inlineStr">
        <is>
          <t xml:space="preserve">16:00</t>
        </is>
      </c>
      <c r="L80" s="9">
        <v>9</v>
      </c>
      <c r="M80" s="9">
        <v>9</v>
      </c>
      <c r="N80" s="6"/>
      <c r="O80" s="10">
        <f>IF(N80&lt;&gt;"",N80,M80)</f>
      </c>
      <c r="P80" s="4">
        <v>855</v>
      </c>
      <c r="Q80" s="7"/>
      <c r="R80" s="5">
        <f>IF(Q80&lt;&gt;"",Q80,IF(N80&lt;&gt;"",IF(M80&gt;0,ROUND(P80*N80/M80,2),0),P80))</f>
      </c>
      <c r="S80" s="9">
        <v>95</v>
      </c>
      <c r="T80" s="0" t="inlineStr">
        <is>
          <t xml:space="preserve">Venue/event: 9 h × R95</t>
        </is>
      </c>
      <c r="U80" s="6"/>
    </row>
    <row r="81">
      <c r="A81" s="0">
        <v>9916</v>
      </c>
      <c r="B81" s="0" t="inlineStr">
        <is>
          <t xml:space="preserve">Solomon Moyo</t>
        </is>
      </c>
      <c r="C81" s="0" t="inlineStr">
        <is>
          <t xml:space="preserve">2026-10-02</t>
        </is>
      </c>
      <c r="D81" s="0" t="inlineStr">
        <is>
          <t xml:space="preserve">Friday</t>
        </is>
      </c>
      <c r="F81" s="0" t="inlineStr">
        <is>
          <t xml:space="preserve">ONE WOMAN SHOW</t>
        </is>
      </c>
      <c r="G81" s="0" t="inlineStr">
        <is>
          <t xml:space="preserve">POLOKWANE</t>
        </is>
      </c>
      <c r="H81" s="0" t="inlineStr">
        <is>
          <t xml:space="preserve">Set up</t>
        </is>
      </c>
      <c r="I81" s="0" t="inlineStr">
        <is>
          <t xml:space="preserve">Normal</t>
        </is>
      </c>
      <c r="J81" s="0" t="inlineStr">
        <is>
          <t xml:space="preserve">07:00</t>
        </is>
      </c>
      <c r="K81" s="0" t="inlineStr">
        <is>
          <t xml:space="preserve">16:00</t>
        </is>
      </c>
      <c r="L81" s="9">
        <v>9</v>
      </c>
      <c r="M81" s="9">
        <v>9</v>
      </c>
      <c r="N81" s="6"/>
      <c r="O81" s="10">
        <f>IF(N81&lt;&gt;"",N81,M81)</f>
      </c>
      <c r="P81" s="4">
        <v>855</v>
      </c>
      <c r="Q81" s="7"/>
      <c r="R81" s="5">
        <f>IF(Q81&lt;&gt;"",Q81,IF(N81&lt;&gt;"",IF(M81&gt;0,ROUND(P81*N81/M81,2),0),P81))</f>
      </c>
      <c r="S81" s="9">
        <v>95</v>
      </c>
      <c r="T81" s="0" t="inlineStr">
        <is>
          <t xml:space="preserve">Venue/event: 9 h × R95</t>
        </is>
      </c>
      <c r="U81" s="6"/>
    </row>
    <row r="82">
      <c r="A82" s="0">
        <v>399</v>
      </c>
      <c r="B82" s="0" t="inlineStr">
        <is>
          <t xml:space="preserve">Takavaudza Chokuda</t>
        </is>
      </c>
      <c r="C82" s="0" t="inlineStr">
        <is>
          <t xml:space="preserve">2026-09-17</t>
        </is>
      </c>
      <c r="D82" s="0" t="inlineStr">
        <is>
          <t xml:space="preserve">Thursday</t>
        </is>
      </c>
      <c r="E82" s="0" t="inlineStr">
        <is>
          <t xml:space="preserve">YES</t>
        </is>
      </c>
      <c r="F82" s="0" t="inlineStr">
        <is>
          <t xml:space="preserve">FNB stadium</t>
        </is>
      </c>
      <c r="G82" s="0" t="inlineStr">
        <is>
          <t xml:space="preserve">Johannesburg</t>
        </is>
      </c>
      <c r="H82" s="0" t="inlineStr">
        <is>
          <t xml:space="preserve">ALREADY PAID 16:00–18:00 (2 h, R190) in payroll 12–18 Sep on shift #9815. THIS ROW = 3 extra hours 18:00–21:00 only = R285 (owner 30 Sep). Total for the evening 16:00–21:00 = 5 h = R475.</t>
        </is>
      </c>
      <c r="I82" s="0" t="inlineStr">
        <is>
          <t xml:space="preserve">Warehouse Team</t>
        </is>
      </c>
      <c r="J82" s="0" t="inlineStr">
        <is>
          <t xml:space="preserve">18:00</t>
        </is>
      </c>
      <c r="K82" s="0" t="inlineStr">
        <is>
          <t xml:space="preserve">21:00</t>
        </is>
      </c>
      <c r="L82" s="9">
        <v>3</v>
      </c>
      <c r="M82" s="9">
        <v>3</v>
      </c>
      <c r="N82" s="6"/>
      <c r="O82" s="10">
        <f>IF(N82&lt;&gt;"",N82,M82)</f>
      </c>
      <c r="P82" s="4">
        <v>285</v>
      </c>
      <c r="Q82" s="7"/>
      <c r="R82" s="5">
        <f>IF(Q82&lt;&gt;"",Q82,IF(N82&lt;&gt;"",IF(M82&gt;0,ROUND(P82*N82/M82,2),0),P82))</f>
      </c>
      <c r="S82" s="9">
        <v>95</v>
      </c>
      <c r="T82" s="0" t="inlineStr">
        <is>
          <t xml:space="preserve">OWNER CORRECTION: Owner 30 Sep: already paid 16:00–18:00 = R190 on #9815. Owner approves 3 EXTRA hours (18:00–21:00) = 3 h × R95 = R285,00. (Was R570, then R380 — corrected to 3 h on owner instruction.)</t>
        </is>
      </c>
      <c r="U82" s="6"/>
      <c r="W82" s="0" t="inlineStr">
        <is>
          <t xml:space="preserve">CLEAR: worked 07:00–16:00, 16:00–18:00 that day (paid in payroll n/a); these hours are outside those times. | #10151 Warehouse claimed — but the entry names “Johannesburg”: WAREHOUSE CLAIMED BUT THE ENTRY NAMES “Johannesburg”: Takavaudza Chokuda selected Warehouse Team at “FNB stadium” for 6.00 h on Tue 29 Sep 2026, but wrote “Johannesburg” — that is a venue, not the warehouse. If he was at “Johannesburg”, he is due the venue rate (R95/h); if he was really in the warehouse, R81,25/h. Choose below.</t>
        </is>
      </c>
      <c r="X82" s="0" t="inlineStr">
        <is>
          <t xml:space="preserve">#10151 DECIDED by Bernie Burness 2026-09-28 16:08: Event/Venue rate chosen — shift #399 R540,00 → R570,00 (Venue/event: 6 h × R95)</t>
        </is>
      </c>
    </row>
    <row r="83">
      <c r="A83" s="0">
        <v>9931</v>
      </c>
      <c r="B83" s="0" t="inlineStr">
        <is>
          <t xml:space="preserve">Takavaudza Chokuda</t>
        </is>
      </c>
      <c r="C83" s="0" t="inlineStr">
        <is>
          <t xml:space="preserve">2026-09-26</t>
        </is>
      </c>
      <c r="D83" s="0" t="inlineStr">
        <is>
          <t xml:space="preserve">Saturday</t>
        </is>
      </c>
      <c r="F83" s="0" t="inlineStr">
        <is>
          <t xml:space="preserve">Warehouse</t>
        </is>
      </c>
      <c r="G83" s="0" t="inlineStr">
        <is>
          <t xml:space="preserve">Henley-onklip</t>
        </is>
      </c>
      <c r="H83" s="0" t="inlineStr">
        <is>
          <t xml:space="preserve">Preparing  equipment for Sunbet,spraying, fixing  and electrical  for bars</t>
        </is>
      </c>
      <c r="I83" s="0" t="inlineStr">
        <is>
          <t xml:space="preserve">Warehouse Team</t>
        </is>
      </c>
      <c r="J83" s="0" t="inlineStr">
        <is>
          <t xml:space="preserve">06:00</t>
        </is>
      </c>
      <c r="K83" s="0" t="inlineStr">
        <is>
          <t xml:space="preserve">13:00</t>
        </is>
      </c>
      <c r="L83" s="9">
        <v>7</v>
      </c>
      <c r="M83" s="9">
        <v>7</v>
      </c>
      <c r="N83" s="6"/>
      <c r="O83" s="10">
        <f>IF(N83&lt;&gt;"",N83,M83)</f>
      </c>
      <c r="P83" s="4">
        <v>568.75</v>
      </c>
      <c r="Q83" s="7"/>
      <c r="R83" s="5">
        <f>IF(Q83&lt;&gt;"",Q83,IF(N83&lt;&gt;"",IF(M83&gt;0,ROUND(P83*N83/M83,2),0),P83))</f>
      </c>
      <c r="S83" s="9">
        <v>81.25</v>
      </c>
      <c r="T83" s="0" t="inlineStr">
        <is>
          <t xml:space="preserve">Warehouse: 7 h × R81,25</t>
        </is>
      </c>
      <c r="U83" s="6"/>
      <c r="W83" s="0" t="inlineStr">
        <is>
          <t xml:space="preserve">#10180 Crew pattern — 4 of 5 at a venue, this one says Warehouse: CREW PATTERN: 4 of 5 workers were at a venue on Sat 26 Sep 2026 (Brooklyn, Brooklyn pretoria, Sonop, SONOP) — Takavaudza Chokuda says Warehouse for 7.00 h. Check he was not at the venue (R95/h would be due).</t>
        </is>
      </c>
      <c r="X83" s="0" t="inlineStr">
        <is>
          <t xml:space="preserve">#10180 DECIDED 7.00 h by Bernie Burness 2026-09-28 16:09: WAREHOUSE — R81,25/h chosen by Bernie Burness for draft #930 — will pay R568,75 when final-submitted (Warehouse: 7 h × R81,25)</t>
        </is>
      </c>
    </row>
    <row r="84">
      <c r="A84" s="0">
        <v>9930</v>
      </c>
      <c r="B84" s="0" t="inlineStr">
        <is>
          <t xml:space="preserve">Takavaudza Chokuda</t>
        </is>
      </c>
      <c r="C84" s="0" t="inlineStr">
        <is>
          <t xml:space="preserve">2026-09-27</t>
        </is>
      </c>
      <c r="D84" s="0" t="inlineStr">
        <is>
          <t xml:space="preserve">Sunday</t>
        </is>
      </c>
      <c r="F84" s="0" t="inlineStr">
        <is>
          <t xml:space="preserve">Warehouse</t>
        </is>
      </c>
      <c r="G84" s="0" t="inlineStr">
        <is>
          <t xml:space="preserve">Henley-onklip</t>
        </is>
      </c>
      <c r="H84" s="0" t="inlineStr">
        <is>
          <t xml:space="preserve">Preparing  furniture for sunbet, repairing and spraying</t>
        </is>
      </c>
      <c r="I84" s="0" t="inlineStr">
        <is>
          <t xml:space="preserve">Warehouse Team</t>
        </is>
      </c>
      <c r="J84" s="0" t="inlineStr">
        <is>
          <t xml:space="preserve">07:00</t>
        </is>
      </c>
      <c r="K84" s="0" t="inlineStr">
        <is>
          <t xml:space="preserve">12:00</t>
        </is>
      </c>
      <c r="L84" s="9">
        <v>5</v>
      </c>
      <c r="M84" s="9">
        <v>5</v>
      </c>
      <c r="N84" s="6"/>
      <c r="O84" s="10">
        <f>IF(N84&lt;&gt;"",N84,M84)</f>
      </c>
      <c r="P84" s="4">
        <v>570</v>
      </c>
      <c r="Q84" s="7"/>
      <c r="R84" s="5">
        <f>IF(Q84&lt;&gt;"",Q84,IF(N84&lt;&gt;"",IF(M84&gt;0,ROUND(P84*N84/M84,2),0),P84))</f>
      </c>
      <c r="S84" s="9">
        <v>114</v>
      </c>
      <c r="T84" s="0" t="inlineStr">
        <is>
          <t xml:space="preserve">Venue/event Sunday: 5 h × R114 (R95 × 1.2)</t>
        </is>
      </c>
      <c r="U84" s="6"/>
      <c r="W84" s="0" t="inlineStr">
        <is>
          <t xml:space="preserve">#10276 Crew pattern — 3 of 4 at a venue, this one says Warehouse: CREW PATTERN: 3 of 4 workers were at a venue on Sun 27 Sep 2026 (Sandton Convention Centre and The Capital, Conversation center Sandton/ Capital hotel, Sandton convention centre) — Takavaudza Chokuda says Warehouse for 5.00 h. Check he was not at the venue (R95/h would be due).</t>
        </is>
      </c>
      <c r="X84" s="0" t="inlineStr">
        <is>
          <t xml:space="preserve">#10276 DECIDED by Bernie Burness (via assistant) 2026-09-30 07:34: Owner 27/28 Sep: Taka Sunday warehouse 07:00–12:00 at venue Sunday rate (R114) then house 12:30 — already ruled and priced.</t>
        </is>
      </c>
    </row>
    <row r="85">
      <c r="A85" s="0">
        <v>9925</v>
      </c>
      <c r="B85" s="0" t="inlineStr">
        <is>
          <t xml:space="preserve">Takavaudza Chokuda</t>
        </is>
      </c>
      <c r="C85" s="0" t="inlineStr">
        <is>
          <t xml:space="preserve">2026-09-27</t>
        </is>
      </c>
      <c r="D85" s="0" t="inlineStr">
        <is>
          <t xml:space="preserve">Sunday</t>
        </is>
      </c>
      <c r="F85" s="0" t="inlineStr">
        <is>
          <t xml:space="preserve">House</t>
        </is>
      </c>
      <c r="G85" s="0" t="inlineStr">
        <is>
          <t xml:space="preserve">Henley-onklip</t>
        </is>
      </c>
      <c r="H85" s="0" t="inlineStr">
        <is>
          <t xml:space="preserve">Normal</t>
        </is>
      </c>
      <c r="I85" s="0" t="inlineStr">
        <is>
          <t xml:space="preserve">House/Garden</t>
        </is>
      </c>
      <c r="J85" s="0" t="inlineStr">
        <is>
          <t xml:space="preserve">12:30</t>
        </is>
      </c>
      <c r="K85" s="0" t="inlineStr">
        <is>
          <t xml:space="preserve">14:00</t>
        </is>
      </c>
      <c r="L85" s="9">
        <v>1.5</v>
      </c>
      <c r="M85" s="9">
        <v>1.5</v>
      </c>
      <c r="N85" s="6"/>
      <c r="O85" s="10">
        <f>IF(N85&lt;&gt;"",N85,M85)</f>
      </c>
      <c r="P85" s="4">
        <v>112.5</v>
      </c>
      <c r="Q85" s="7"/>
      <c r="R85" s="5">
        <f>IF(Q85&lt;&gt;"",Q85,IF(N85&lt;&gt;"",IF(M85&gt;0,ROUND(P85*N85/M85,2),0),P85))</f>
      </c>
      <c r="S85" s="9">
        <v>75</v>
      </c>
      <c r="T85" s="0" t="inlineStr">
        <is>
          <t xml:space="preserve">Gardener House work Sunday: 1.5 h × R75 (R62,50 × 1.2)</t>
        </is>
      </c>
      <c r="U85" s="6"/>
    </row>
    <row r="86">
      <c r="A86" s="0">
        <v>9929</v>
      </c>
      <c r="B86" s="0" t="inlineStr">
        <is>
          <t xml:space="preserve">Takavaudza Chokuda</t>
        </is>
      </c>
      <c r="C86" s="0" t="inlineStr">
        <is>
          <t xml:space="preserve">2026-09-28</t>
        </is>
      </c>
      <c r="D86" s="0" t="inlineStr">
        <is>
          <t xml:space="preserve">Monday</t>
        </is>
      </c>
      <c r="F86" s="0" t="inlineStr">
        <is>
          <t xml:space="preserve">Wanderas, Orlando pirates</t>
        </is>
      </c>
      <c r="G86" s="0" t="inlineStr">
        <is>
          <t xml:space="preserve">Johannesburg</t>
        </is>
      </c>
      <c r="H86" s="0" t="inlineStr">
        <is>
          <t xml:space="preserve">Strikedown</t>
        </is>
      </c>
      <c r="I86" s="0" t="inlineStr">
        <is>
          <t xml:space="preserve">Warehouse Team</t>
        </is>
      </c>
      <c r="J86" s="0" t="inlineStr">
        <is>
          <t xml:space="preserve">07:00</t>
        </is>
      </c>
      <c r="K86" s="0" t="inlineStr">
        <is>
          <t xml:space="preserve">16:00</t>
        </is>
      </c>
      <c r="L86" s="9">
        <v>9</v>
      </c>
      <c r="M86" s="9">
        <v>9</v>
      </c>
      <c r="N86" s="6"/>
      <c r="O86" s="10">
        <f>IF(N86&lt;&gt;"",N86,M86)</f>
      </c>
      <c r="P86" s="4">
        <v>855</v>
      </c>
      <c r="Q86" s="7"/>
      <c r="R86" s="5">
        <f>IF(Q86&lt;&gt;"",Q86,IF(N86&lt;&gt;"",IF(M86&gt;0,ROUND(P86*N86/M86,2),0),P86))</f>
      </c>
      <c r="S86" s="9">
        <v>95</v>
      </c>
      <c r="T86" s="0" t="inlineStr">
        <is>
          <t xml:space="preserve">Venue/event: 9 h × R95</t>
        </is>
      </c>
      <c r="U86" s="6"/>
      <c r="W86" s="0" t="inlineStr">
        <is>
          <t xml:space="preserve">#10190 Warehouse claimed — but the entry names “Johannesburg”: WAREHOUSE CLAIMED BUT THE ENTRY NAMES “Johannesburg”: Takavaudza Chokuda selected Warehouse Team at “Wanderas, Orlando pirates” for 9.00 h on Mon 28 Sep 2026, but wrote “Johannesburg” — that is a venue, not the warehouse. 5 workers were at a venue that day (Protea hotel wanderer, ORLANDO &amp; WANDERERS, Sonop Pretoria and Wanderers, Sonop Pretoria/ Protea hotel, Orlando stadium). If he was at “Johannesburg”, he is due the venue rate (R95/h); if he was really in the warehouse, R81,25/h. Choose below.</t>
        </is>
      </c>
      <c r="X86" s="0" t="inlineStr">
        <is>
          <t xml:space="preserve">#10190 DECIDED 9.00 h by Bernie Burness 2026-09-29 12:54: VENUE — R95/h chosen by Bernie Burness for draft #957 — will pay R855,00 when final-submitted (Venue/event: 9 h × R95) — worker selected "Warehouse Team"; office overrides to Venue</t>
        </is>
      </c>
    </row>
    <row r="87">
      <c r="A87" s="0">
        <v>9928</v>
      </c>
      <c r="B87" s="0" t="inlineStr">
        <is>
          <t xml:space="preserve">Takavaudza Chokuda</t>
        </is>
      </c>
      <c r="C87" s="0" t="inlineStr">
        <is>
          <t xml:space="preserve">2026-09-29</t>
        </is>
      </c>
      <c r="D87" s="0" t="inlineStr">
        <is>
          <t xml:space="preserve">Tuesday</t>
        </is>
      </c>
      <c r="F87" s="0" t="inlineStr">
        <is>
          <t xml:space="preserve">Warehouse</t>
        </is>
      </c>
      <c r="G87" s="0" t="inlineStr">
        <is>
          <t xml:space="preserve">Henley-onklip</t>
        </is>
      </c>
      <c r="H87" s="0" t="inlineStr">
        <is>
          <t xml:space="preserve">Fixing, repairing and loading  for sunset and botanical gardens</t>
        </is>
      </c>
      <c r="I87" s="0" t="inlineStr">
        <is>
          <t xml:space="preserve">Warehouse Team</t>
        </is>
      </c>
      <c r="J87" s="0" t="inlineStr">
        <is>
          <t xml:space="preserve">07:00</t>
        </is>
      </c>
      <c r="K87" s="0" t="inlineStr">
        <is>
          <t xml:space="preserve">16:00</t>
        </is>
      </c>
      <c r="L87" s="9">
        <v>9</v>
      </c>
      <c r="M87" s="9">
        <v>9</v>
      </c>
      <c r="N87" s="6"/>
      <c r="O87" s="10">
        <f>IF(N87&lt;&gt;"",N87,M87)</f>
      </c>
      <c r="P87" s="4">
        <v>690.63</v>
      </c>
      <c r="Q87" s="7"/>
      <c r="R87" s="5">
        <f>IF(Q87&lt;&gt;"",Q87,IF(N87&lt;&gt;"",IF(M87&gt;0,ROUND(P87*N87/M87,2),0),P87))</f>
      </c>
      <c r="S87" s="9">
        <v>81.25</v>
      </c>
      <c r="T87" s="0" t="inlineStr">
        <is>
          <t xml:space="preserve">Warehouse: 9 h − 0.5 h staff meeting 07:00–07:30 (unpaid, R40,63) = 8.5 h × R81,25</t>
        </is>
      </c>
      <c r="U87" s="6"/>
      <c r="W87" s="0" t="inlineStr">
        <is>
          <t xml:space="preserve">#10225 Warehouse claimed — but the entry names “gardens”: WAREHOUSE CLAIMED BUT THE ENTRY NAMES “gardens”: Takavaudza Chokuda selected Warehouse Team at “Warehouse” for 9.00 h on Tue 29 Sep 2026, but wrote “gardens” — that is a venue, not the warehouse. If he was at “gardens”, he is due the venue rate (R95/h); if he was really in the warehouse, R81,25/h. Choose below.</t>
        </is>
      </c>
      <c r="X87" s="0" t="inlineStr">
        <is>
          <t xml:space="preserve">#10225 DECIDED 9.00 h by Bernie Burness 2026-09-29 16:34: WAREHOUSE — R81,25/h chosen by Bernie Burness for draft #981 — will pay R690,63 when final-submitted (Warehouse: 9 h − 0.5 h staff meeting 07:00–07:30 (unpaid, R40,63) = 8.5 h × R81,25)</t>
        </is>
      </c>
    </row>
    <row r="88">
      <c r="A88" s="0">
        <v>9927</v>
      </c>
      <c r="B88" s="0" t="inlineStr">
        <is>
          <t xml:space="preserve">Takavaudza Chokuda</t>
        </is>
      </c>
      <c r="C88" s="0" t="inlineStr">
        <is>
          <t xml:space="preserve">2026-09-30</t>
        </is>
      </c>
      <c r="D88" s="0" t="inlineStr">
        <is>
          <t xml:space="preserve">Wednesday</t>
        </is>
      </c>
      <c r="F88" s="0" t="inlineStr">
        <is>
          <t xml:space="preserve">Sunbet</t>
        </is>
      </c>
      <c r="G88" s="0" t="inlineStr">
        <is>
          <t xml:space="preserve">Pretoria</t>
        </is>
      </c>
      <c r="H88" s="0" t="inlineStr">
        <is>
          <t xml:space="preserve">Set up</t>
        </is>
      </c>
      <c r="I88" s="0" t="inlineStr">
        <is>
          <t xml:space="preserve">Warehouse Team</t>
        </is>
      </c>
      <c r="J88" s="0" t="inlineStr">
        <is>
          <t xml:space="preserve">07:00</t>
        </is>
      </c>
      <c r="K88" s="0" t="inlineStr">
        <is>
          <t xml:space="preserve">16:00</t>
        </is>
      </c>
      <c r="L88" s="9">
        <v>9</v>
      </c>
      <c r="M88" s="9">
        <v>9</v>
      </c>
      <c r="N88" s="6"/>
      <c r="O88" s="10">
        <f>IF(N88&lt;&gt;"",N88,M88)</f>
      </c>
      <c r="P88" s="4">
        <v>855</v>
      </c>
      <c r="Q88" s="7"/>
      <c r="R88" s="5">
        <f>IF(Q88&lt;&gt;"",Q88,IF(N88&lt;&gt;"",IF(M88&gt;0,ROUND(P88*N88/M88,2),0),P88))</f>
      </c>
      <c r="S88" s="9">
        <v>95</v>
      </c>
      <c r="T88" s="0" t="inlineStr">
        <is>
          <t xml:space="preserve">Venue/event: 9 h × R95</t>
        </is>
      </c>
      <c r="U88" s="6"/>
      <c r="W88" s="0" t="inlineStr">
        <is>
          <t xml:space="preserve">#10226 Warehouse claimed — but the entry names “Pretoria”: WAREHOUSE CLAIMED BUT THE ENTRY NAMES “Pretoria”: Takavaudza Chokuda selected Warehouse Team at “Sunbet” for 9.00 h on Wed 30 Sep 2026, but wrote “Pretoria” — that is a venue, not the warehouse. Other workers were at SunBet Arena Pretoria that day. If he was at “Pretoria”, he is due the venue rate (R95/h); if he was really in the warehouse, R81,25/h. Choose below.</t>
        </is>
      </c>
      <c r="X88" s="0" t="inlineStr">
        <is>
          <t xml:space="preserve">#10226 DECIDED 9.00 h by Bernie Burness 2026-09-29 16:34: VENUE — R95/h chosen by Bernie Burness for draft #982 — will pay R855,00 when final-submitted (Venue/event: 9 h × R95) — worker selected "Warehouse Team"; office overrides to Venue</t>
        </is>
      </c>
    </row>
    <row r="89">
      <c r="A89" s="0">
        <v>9926</v>
      </c>
      <c r="B89" s="0" t="inlineStr">
        <is>
          <t xml:space="preserve">Takavaudza Chokuda</t>
        </is>
      </c>
      <c r="C89" s="0" t="inlineStr">
        <is>
          <t xml:space="preserve">2026-10-01</t>
        </is>
      </c>
      <c r="D89" s="0" t="inlineStr">
        <is>
          <t xml:space="preserve">Thursday</t>
        </is>
      </c>
      <c r="F89" s="0" t="inlineStr">
        <is>
          <t xml:space="preserve">Warehouse</t>
        </is>
      </c>
      <c r="G89" s="0" t="inlineStr">
        <is>
          <t xml:space="preserve">Henley-onklip</t>
        </is>
      </c>
      <c r="H89" s="0" t="inlineStr">
        <is>
          <t xml:space="preserve">Equipment  repairing and fixing</t>
        </is>
      </c>
      <c r="I89" s="0" t="inlineStr">
        <is>
          <t xml:space="preserve">Warehouse Team</t>
        </is>
      </c>
      <c r="J89" s="0" t="inlineStr">
        <is>
          <t xml:space="preserve">07:00</t>
        </is>
      </c>
      <c r="K89" s="0" t="inlineStr">
        <is>
          <t xml:space="preserve">16:00</t>
        </is>
      </c>
      <c r="L89" s="9">
        <v>9</v>
      </c>
      <c r="M89" s="9">
        <v>9</v>
      </c>
      <c r="N89" s="6"/>
      <c r="O89" s="10">
        <f>IF(N89&lt;&gt;"",N89,M89)</f>
      </c>
      <c r="P89" s="4">
        <v>855</v>
      </c>
      <c r="Q89" s="7"/>
      <c r="R89" s="5">
        <f>IF(Q89&lt;&gt;"",Q89,IF(N89&lt;&gt;"",IF(M89&gt;0,ROUND(P89*N89/M89,2),0),P89))</f>
      </c>
      <c r="S89" s="9">
        <v>95</v>
      </c>
      <c r="T89" s="0" t="inlineStr">
        <is>
          <t xml:space="preserve">Venue/event: 9 h × R95</t>
        </is>
      </c>
      <c r="U89" s="6"/>
      <c r="W89" s="0" t="inlineStr">
        <is>
          <t xml:space="preserve">#10227 Crew pattern — 4 of 5 at a venue, this one says Warehouse: CREW PATTERN: 4 of 5 workers were at a venue on Thu 1 Oct 2026 (Homecoming, Botanical Gardens, Pretoria Botanical Gardens) — Takavaudza Chokuda says Warehouse for 9.00 h. Check he was not at the venue (R95/h would be due).</t>
        </is>
      </c>
      <c r="X89" s="0" t="inlineStr">
        <is>
          <t xml:space="preserve">#10227 DECIDED 9.00 h by Bernie Burness 2026-09-29 16:35: VENUE — R95/h chosen by Bernie Burness for draft #983 — will pay R855,00 when final-submitted (Venue/event: 9 h × R95) — worker selected "Warehouse Team"; office overrides to Venue</t>
        </is>
      </c>
    </row>
    <row r="90">
      <c r="A90" s="0">
        <v>9923</v>
      </c>
      <c r="B90" s="0" t="inlineStr">
        <is>
          <t xml:space="preserve">Takavaudza Chokuda</t>
        </is>
      </c>
      <c r="C90" s="0" t="inlineStr">
        <is>
          <t xml:space="preserve">2026-10-02</t>
        </is>
      </c>
      <c r="D90" s="0" t="inlineStr">
        <is>
          <t xml:space="preserve">Friday</t>
        </is>
      </c>
      <c r="F90" s="0" t="inlineStr">
        <is>
          <t xml:space="preserve">Warehouse</t>
        </is>
      </c>
      <c r="G90" s="0" t="inlineStr">
        <is>
          <t xml:space="preserve">Henley-onklip</t>
        </is>
      </c>
      <c r="H90" s="0" t="inlineStr">
        <is>
          <t xml:space="preserve">Repairing and fixing  equipment</t>
        </is>
      </c>
      <c r="I90" s="0" t="inlineStr">
        <is>
          <t xml:space="preserve">Warehouse Team</t>
        </is>
      </c>
      <c r="J90" s="0" t="inlineStr">
        <is>
          <t xml:space="preserve">07:00</t>
        </is>
      </c>
      <c r="K90" s="0" t="inlineStr">
        <is>
          <t xml:space="preserve">16:00</t>
        </is>
      </c>
      <c r="L90" s="9">
        <v>9</v>
      </c>
      <c r="M90" s="9">
        <v>9</v>
      </c>
      <c r="N90" s="6"/>
      <c r="O90" s="10">
        <f>IF(N90&lt;&gt;"",N90,M90)</f>
      </c>
      <c r="P90" s="4">
        <v>855</v>
      </c>
      <c r="Q90" s="7"/>
      <c r="R90" s="5">
        <f>IF(Q90&lt;&gt;"",Q90,IF(N90&lt;&gt;"",IF(M90&gt;0,ROUND(P90*N90/M90,2),0),P90))</f>
      </c>
      <c r="S90" s="9">
        <v>95</v>
      </c>
      <c r="T90" s="0" t="inlineStr">
        <is>
          <t xml:space="preserve">Venue/event: 9 h × R95</t>
        </is>
      </c>
      <c r="U90" s="6"/>
      <c r="W90" s="0" t="inlineStr">
        <is>
          <t xml:space="preserve">#10228 Crew pattern — 4 of 5 at a venue, this one says Warehouse: CREW PATTERN: 4 of 5 workers were at a venue on Fri 2 Oct 2026 (Cielo, Benoni, Pretoria Botanical Gardens, ONE WOMAN SHOW) — Takavaudza Chokuda says Warehouse for 9.00 h. Check he was not at the venue (R95/h would be due).</t>
        </is>
      </c>
      <c r="X90" s="0" t="inlineStr">
        <is>
          <t xml:space="preserve">#10228 DECIDED 9.00 h by Bernie Burness 2026-09-29 16:35: VENUE — R95/h chosen by Bernie Burness for draft #984 — will pay R855,00 when final-submitted (Venue/event: 9 h × R95) — worker selected "Warehouse Team"; office overrides to Venue</t>
        </is>
      </c>
    </row>
    <row r="91">
      <c r="A91" s="0">
        <v>9954</v>
      </c>
      <c r="B91" s="0" t="inlineStr">
        <is>
          <t xml:space="preserve">Thandanani Nkala</t>
        </is>
      </c>
      <c r="C91" s="0" t="inlineStr">
        <is>
          <t xml:space="preserve">2026-09-26</t>
        </is>
      </c>
      <c r="D91" s="0" t="inlineStr">
        <is>
          <t xml:space="preserve">Saturday</t>
        </is>
      </c>
      <c r="F91" s="0" t="inlineStr">
        <is>
          <t xml:space="preserve">Sonop</t>
        </is>
      </c>
      <c r="G91" s="0" t="inlineStr">
        <is>
          <t xml:space="preserve">Pretoria</t>
        </is>
      </c>
      <c r="H91" s="0" t="inlineStr">
        <is>
          <t xml:space="preserve">Sonop First Year</t>
        </is>
      </c>
      <c r="I91" s="0" t="inlineStr">
        <is>
          <t xml:space="preserve">Normal</t>
        </is>
      </c>
      <c r="J91" s="0" t="inlineStr">
        <is>
          <t xml:space="preserve">06:00</t>
        </is>
      </c>
      <c r="K91" s="0" t="inlineStr">
        <is>
          <t xml:space="preserve">14:00</t>
        </is>
      </c>
      <c r="L91" s="9">
        <v>8</v>
      </c>
      <c r="M91" s="9">
        <v>8</v>
      </c>
      <c r="N91" s="6"/>
      <c r="O91" s="10">
        <f>IF(N91&lt;&gt;"",N91,M91)</f>
      </c>
      <c r="P91" s="4">
        <v>760</v>
      </c>
      <c r="Q91" s="7"/>
      <c r="R91" s="5">
        <f>IF(Q91&lt;&gt;"",Q91,IF(N91&lt;&gt;"",IF(M91&gt;0,ROUND(P91*N91/M91,2),0),P91))</f>
      </c>
      <c r="S91" s="9">
        <v>95</v>
      </c>
      <c r="T91" s="0" t="inlineStr">
        <is>
          <t xml:space="preserve">Venue/event: 8 h × R95</t>
        </is>
      </c>
      <c r="U91" s="6"/>
    </row>
    <row r="92">
      <c r="A92" s="0">
        <v>9960</v>
      </c>
      <c r="B92" s="0" t="inlineStr">
        <is>
          <t xml:space="preserve">Thandanani Nkala</t>
        </is>
      </c>
      <c r="C92" s="0" t="inlineStr">
        <is>
          <t xml:space="preserve">2026-09-27</t>
        </is>
      </c>
      <c r="D92" s="0" t="inlineStr">
        <is>
          <t xml:space="preserve">Sunday</t>
        </is>
      </c>
      <c r="F92" s="0" t="inlineStr">
        <is>
          <t xml:space="preserve">Warehouse</t>
        </is>
      </c>
      <c r="G92" s="0" t="inlineStr">
        <is>
          <t xml:space="preserve">Highbury</t>
        </is>
      </c>
      <c r="H92" s="0" t="inlineStr">
        <is>
          <t xml:space="preserve">Offloading, Preparing fir Strike downs and Cleaning</t>
        </is>
      </c>
      <c r="I92" s="0" t="inlineStr">
        <is>
          <t xml:space="preserve">Normal</t>
        </is>
      </c>
      <c r="J92" s="0" t="inlineStr">
        <is>
          <t xml:space="preserve">07:00</t>
        </is>
      </c>
      <c r="K92" s="0" t="inlineStr">
        <is>
          <t xml:space="preserve">11:30</t>
        </is>
      </c>
      <c r="L92" s="9">
        <v>4.5</v>
      </c>
      <c r="M92" s="9">
        <v>4.5</v>
      </c>
      <c r="N92" s="6"/>
      <c r="O92" s="10">
        <f>IF(N92&lt;&gt;"",N92,M92)</f>
      </c>
      <c r="P92" s="4">
        <v>513</v>
      </c>
      <c r="Q92" s="7"/>
      <c r="R92" s="5">
        <f>IF(Q92&lt;&gt;"",Q92,IF(N92&lt;&gt;"",IF(M92&gt;0,ROUND(P92*N92/M92,2),0),P92))</f>
      </c>
      <c r="S92" s="9">
        <v>114</v>
      </c>
      <c r="T92" s="0" t="inlineStr">
        <is>
          <t xml:space="preserve">Venue/event Sunday: 4.5 h × R114 (R95 × 1.2)</t>
        </is>
      </c>
      <c r="U92" s="6"/>
    </row>
    <row r="93">
      <c r="A93" s="0">
        <v>9959</v>
      </c>
      <c r="B93" s="0" t="inlineStr">
        <is>
          <t xml:space="preserve">Thandanani Nkala</t>
        </is>
      </c>
      <c r="C93" s="0" t="inlineStr">
        <is>
          <t xml:space="preserve">2026-09-28</t>
        </is>
      </c>
      <c r="D93" s="0" t="inlineStr">
        <is>
          <t xml:space="preserve">Monday</t>
        </is>
      </c>
      <c r="F93" s="0" t="inlineStr">
        <is>
          <t xml:space="preserve">Orlando Amstel Arena/Wanderers Stadium/Warehouse</t>
        </is>
      </c>
      <c r="G93" s="0" t="inlineStr">
        <is>
          <t xml:space="preserve">Soweto and Ilovo Johannesburg</t>
        </is>
      </c>
      <c r="H93" s="0" t="inlineStr">
        <is>
          <t xml:space="preserve">Strike Down and Offloading</t>
        </is>
      </c>
      <c r="I93" s="0" t="inlineStr">
        <is>
          <t xml:space="preserve">Normal</t>
        </is>
      </c>
      <c r="J93" s="0" t="inlineStr">
        <is>
          <t xml:space="preserve">07:00</t>
        </is>
      </c>
      <c r="K93" s="0" t="inlineStr">
        <is>
          <t xml:space="preserve">16:00</t>
        </is>
      </c>
      <c r="L93" s="9">
        <v>9</v>
      </c>
      <c r="M93" s="9">
        <v>9</v>
      </c>
      <c r="N93" s="6"/>
      <c r="O93" s="10">
        <f>IF(N93&lt;&gt;"",N93,M93)</f>
      </c>
      <c r="P93" s="4">
        <v>855</v>
      </c>
      <c r="Q93" s="7"/>
      <c r="R93" s="5">
        <f>IF(Q93&lt;&gt;"",Q93,IF(N93&lt;&gt;"",IF(M93&gt;0,ROUND(P93*N93/M93,2),0),P93))</f>
      </c>
      <c r="S93" s="9">
        <v>95</v>
      </c>
      <c r="T93" s="0" t="inlineStr">
        <is>
          <t xml:space="preserve">OWNER CORRECTION: Owner 30 Sep 2026: same team, same rate — Mon 28 Sep strike-down (Orlando / Wanderers / Sonop) team all 9 h × R95 = R855. Was R750 unpriced.</t>
        </is>
      </c>
      <c r="U93" s="6"/>
      <c r="V93" s="0" t="inlineStr">
        <is>
          <t xml:space="preserve">#10301</t>
        </is>
      </c>
    </row>
    <row r="94">
      <c r="A94" s="0">
        <v>9958</v>
      </c>
      <c r="B94" s="0" t="inlineStr">
        <is>
          <t xml:space="preserve">Thandanani Nkala</t>
        </is>
      </c>
      <c r="C94" s="0" t="inlineStr">
        <is>
          <t xml:space="preserve">2026-09-29</t>
        </is>
      </c>
      <c r="D94" s="0" t="inlineStr">
        <is>
          <t xml:space="preserve">Tuesday</t>
        </is>
      </c>
      <c r="F94" s="0" t="inlineStr">
        <is>
          <t xml:space="preserve">Warehouse</t>
        </is>
      </c>
      <c r="G94" s="0" t="inlineStr">
        <is>
          <t xml:space="preserve">Highbury</t>
        </is>
      </c>
      <c r="H94" s="0" t="inlineStr">
        <is>
          <t xml:space="preserve">Preparing Equipment and Loading for Sunbet</t>
        </is>
      </c>
      <c r="I94" s="0" t="inlineStr">
        <is>
          <t xml:space="preserve">Normal</t>
        </is>
      </c>
      <c r="J94" s="0" t="inlineStr">
        <is>
          <t xml:space="preserve">07:00</t>
        </is>
      </c>
      <c r="K94" s="0" t="inlineStr">
        <is>
          <t xml:space="preserve">16:00</t>
        </is>
      </c>
      <c r="L94" s="9">
        <v>9</v>
      </c>
      <c r="M94" s="9">
        <v>9</v>
      </c>
      <c r="N94" s="6"/>
      <c r="O94" s="10">
        <f>IF(N94&lt;&gt;"",N94,M94)</f>
      </c>
      <c r="P94" s="4">
        <v>690.63</v>
      </c>
      <c r="Q94" s="7"/>
      <c r="R94" s="5">
        <f>IF(Q94&lt;&gt;"",Q94,IF(N94&lt;&gt;"",IF(M94&gt;0,ROUND(P94*N94/M94,2),0),P94))</f>
      </c>
      <c r="S94" s="9">
        <v>81.25</v>
      </c>
      <c r="T94" s="0" t="inlineStr">
        <is>
          <t xml:space="preserve">OWNER CORRECTION: Owner 30 Sep 2026: same team, same rate — Tue 29 Sep whole team loading at the warehouse for Sunbet = Warehouse 9 h − 0.5 h meeting = 8.5 h × R81,25 = R690,63 (owner chose Warehouse for Patrick, Bhekizitha, Daniel, Erence, Taka the same day).</t>
        </is>
      </c>
      <c r="U94" s="6"/>
      <c r="V94" s="0" t="inlineStr">
        <is>
          <t xml:space="preserve">#10299</t>
        </is>
      </c>
    </row>
    <row r="95">
      <c r="A95" s="0">
        <v>9957</v>
      </c>
      <c r="B95" s="0" t="inlineStr">
        <is>
          <t xml:space="preserve">Thandanani Nkala</t>
        </is>
      </c>
      <c r="C95" s="0" t="inlineStr">
        <is>
          <t xml:space="preserve">2026-09-30</t>
        </is>
      </c>
      <c r="D95" s="0" t="inlineStr">
        <is>
          <t xml:space="preserve">Wednesday</t>
        </is>
      </c>
      <c r="F95" s="0" t="inlineStr">
        <is>
          <t xml:space="preserve">Sunbet Arena</t>
        </is>
      </c>
      <c r="G95" s="0" t="inlineStr">
        <is>
          <t xml:space="preserve">Pretoria</t>
        </is>
      </c>
      <c r="H95" s="0" t="inlineStr">
        <is>
          <t xml:space="preserve">Set Up</t>
        </is>
      </c>
      <c r="I95" s="0" t="inlineStr">
        <is>
          <t xml:space="preserve">Normal</t>
        </is>
      </c>
      <c r="J95" s="0" t="inlineStr">
        <is>
          <t xml:space="preserve">07:00</t>
        </is>
      </c>
      <c r="K95" s="0" t="inlineStr">
        <is>
          <t xml:space="preserve">16:00</t>
        </is>
      </c>
      <c r="L95" s="9">
        <v>9</v>
      </c>
      <c r="M95" s="9">
        <v>9</v>
      </c>
      <c r="N95" s="6"/>
      <c r="O95" s="10">
        <f>IF(N95&lt;&gt;"",N95,M95)</f>
      </c>
      <c r="P95" s="4">
        <v>855</v>
      </c>
      <c r="Q95" s="7"/>
      <c r="R95" s="5">
        <f>IF(Q95&lt;&gt;"",Q95,IF(N95&lt;&gt;"",IF(M95&gt;0,ROUND(P95*N95/M95,2),0),P95))</f>
      </c>
      <c r="S95" s="9">
        <v>95</v>
      </c>
      <c r="T95" s="0" t="inlineStr">
        <is>
          <t xml:space="preserve">Venue/event: 9 h × R95</t>
        </is>
      </c>
      <c r="U95" s="6"/>
    </row>
    <row r="96">
      <c r="A96" s="0">
        <v>9956</v>
      </c>
      <c r="B96" s="0" t="inlineStr">
        <is>
          <t xml:space="preserve">Thandanani Nkala</t>
        </is>
      </c>
      <c r="C96" s="0" t="inlineStr">
        <is>
          <t xml:space="preserve">2026-10-01</t>
        </is>
      </c>
      <c r="D96" s="0" t="inlineStr">
        <is>
          <t xml:space="preserve">Thursday</t>
        </is>
      </c>
      <c r="F96" s="0" t="inlineStr">
        <is>
          <t xml:space="preserve">Pretoria Botanical Gardens</t>
        </is>
      </c>
      <c r="G96" s="0" t="inlineStr">
        <is>
          <t xml:space="preserve">Pretoria</t>
        </is>
      </c>
      <c r="H96" s="0" t="inlineStr">
        <is>
          <t xml:space="preserve">Set Up for Homecoming Africa</t>
        </is>
      </c>
      <c r="I96" s="0" t="inlineStr">
        <is>
          <t xml:space="preserve">Normal</t>
        </is>
      </c>
      <c r="J96" s="0" t="inlineStr">
        <is>
          <t xml:space="preserve">07:00</t>
        </is>
      </c>
      <c r="K96" s="0" t="inlineStr">
        <is>
          <t xml:space="preserve">16:00</t>
        </is>
      </c>
      <c r="L96" s="9">
        <v>9</v>
      </c>
      <c r="M96" s="9">
        <v>9</v>
      </c>
      <c r="N96" s="6"/>
      <c r="O96" s="10">
        <f>IF(N96&lt;&gt;"",N96,M96)</f>
      </c>
      <c r="P96" s="4">
        <v>855</v>
      </c>
      <c r="Q96" s="7"/>
      <c r="R96" s="5">
        <f>IF(Q96&lt;&gt;"",Q96,IF(N96&lt;&gt;"",IF(M96&gt;0,ROUND(P96*N96/M96,2),0),P96))</f>
      </c>
      <c r="S96" s="9">
        <v>95</v>
      </c>
      <c r="T96" s="0" t="inlineStr">
        <is>
          <t xml:space="preserve">Venue/event: 9 h × R95</t>
        </is>
      </c>
      <c r="U96" s="6"/>
    </row>
    <row r="97">
      <c r="A97" s="0">
        <v>9955</v>
      </c>
      <c r="B97" s="0" t="inlineStr">
        <is>
          <t xml:space="preserve">Thandanani Nkala</t>
        </is>
      </c>
      <c r="C97" s="0" t="inlineStr">
        <is>
          <t xml:space="preserve">2026-10-02</t>
        </is>
      </c>
      <c r="D97" s="0" t="inlineStr">
        <is>
          <t xml:space="preserve">Friday</t>
        </is>
      </c>
      <c r="F97" s="0" t="inlineStr">
        <is>
          <t xml:space="preserve">Pretoria Botanical Gardens</t>
        </is>
      </c>
      <c r="G97" s="0" t="inlineStr">
        <is>
          <t xml:space="preserve">Pretoria</t>
        </is>
      </c>
      <c r="H97" s="0" t="inlineStr">
        <is>
          <t xml:space="preserve">Final Set Up for Homecoming Africa</t>
        </is>
      </c>
      <c r="I97" s="0" t="inlineStr">
        <is>
          <t xml:space="preserve">Normal</t>
        </is>
      </c>
      <c r="J97" s="0" t="inlineStr">
        <is>
          <t xml:space="preserve">07:00</t>
        </is>
      </c>
      <c r="K97" s="0" t="inlineStr">
        <is>
          <t xml:space="preserve">16:00</t>
        </is>
      </c>
      <c r="L97" s="9">
        <v>9</v>
      </c>
      <c r="M97" s="9">
        <v>9</v>
      </c>
      <c r="N97" s="6"/>
      <c r="O97" s="10">
        <f>IF(N97&lt;&gt;"",N97,M97)</f>
      </c>
      <c r="P97" s="4">
        <v>855</v>
      </c>
      <c r="Q97" s="7"/>
      <c r="R97" s="5">
        <f>IF(Q97&lt;&gt;"",Q97,IF(N97&lt;&gt;"",IF(M97&gt;0,ROUND(P97*N97/M97,2),0),P97))</f>
      </c>
      <c r="S97" s="9">
        <v>95</v>
      </c>
      <c r="T97" s="0" t="inlineStr">
        <is>
          <t xml:space="preserve">Venue/event: 9 h × R95</t>
        </is>
      </c>
      <c r="U97" s="6"/>
    </row>
    <row r="98">
      <c r="A98" s="0">
        <v>9876</v>
      </c>
      <c r="B98" s="0" t="inlineStr">
        <is>
          <t xml:space="preserve">Thina Dyani</t>
        </is>
      </c>
      <c r="C98" s="0" t="inlineStr">
        <is>
          <t xml:space="preserve">2026-09-24</t>
        </is>
      </c>
      <c r="D98" s="0" t="inlineStr">
        <is>
          <t xml:space="preserve">Thursday</t>
        </is>
      </c>
      <c r="E98" s="0" t="inlineStr">
        <is>
          <t xml:space="preserve">YES</t>
        </is>
      </c>
      <c r="F98" s="0" t="inlineStr">
        <is>
          <t xml:space="preserve">Heritage Day weekend — owner allowance</t>
        </is>
      </c>
      <c r="G98" s="0" t="inlineStr">
        <is>
          <t xml:space="preserve">Warehouse</t>
        </is>
      </c>
      <c r="H98" s="0" t="inlineStr">
        <is>
          <t xml:space="preserve">Owner allowance R650 for the Heritage Day long weekend (owner 28 Sep) — set amount, not hours</t>
        </is>
      </c>
      <c r="I98" s="0" t="inlineStr">
        <is>
          <t xml:space="preserve">Normal</t>
        </is>
      </c>
      <c r="J98" s="0" t="inlineStr">
        <is>
          <t xml:space="preserve">00:00</t>
        </is>
      </c>
      <c r="K98" s="0" t="inlineStr">
        <is>
          <t xml:space="preserve">00:00</t>
        </is>
      </c>
      <c r="L98" s="9">
        <v>0</v>
      </c>
      <c r="M98" s="9">
        <v>0</v>
      </c>
      <c r="N98" s="6"/>
      <c r="O98" s="10">
        <f>IF(N98&lt;&gt;"",N98,M98)</f>
      </c>
      <c r="P98" s="4">
        <v>650</v>
      </c>
      <c r="Q98" s="7"/>
      <c r="R98" s="5">
        <f>IF(Q98&lt;&gt;"",Q98,IF(N98&lt;&gt;"",IF(M98&gt;0,ROUND(P98*N98/M98,2),0),P98))</f>
      </c>
      <c r="S98" s="9">
        <v>0</v>
      </c>
      <c r="T98" s="0" t="inlineStr">
        <is>
          <t xml:space="preserve">OWNER CORRECTION: Owner 28 Sep 2026: "Please kindly give Thina money as well for the weekend public holiday. Make it 650." Owner amount R650,00 — paid in payroll 26 Sep–2 Oct (real date Thu 24 Sep, previous payroll closed).</t>
        </is>
      </c>
      <c r="U98" s="6"/>
      <c r="W98" s="0" t="inlineStr">
        <is>
          <t xml:space="preserve">CLEAR: nothing else paid for this day.</t>
        </is>
      </c>
      <c r="X98" s="0" t="inlineStr">
        <is>
          <t xml:space="preserve">No review needed</t>
        </is>
      </c>
    </row>
    <row r="99">
      <c r="A99" s="0">
        <v>9909</v>
      </c>
      <c r="B99" s="0" t="inlineStr">
        <is>
          <t xml:space="preserve">Tsotlego Petrus Malakoane</t>
        </is>
      </c>
      <c r="C99" s="0" t="inlineStr">
        <is>
          <t xml:space="preserve">2026-09-26</t>
        </is>
      </c>
      <c r="D99" s="0" t="inlineStr">
        <is>
          <t xml:space="preserve">Saturday</t>
        </is>
      </c>
      <c r="F99" s="0" t="inlineStr">
        <is>
          <t xml:space="preserve">Warehouse</t>
        </is>
      </c>
      <c r="G99" s="0" t="inlineStr">
        <is>
          <t xml:space="preserve">Henley on klip</t>
        </is>
      </c>
      <c r="H99" s="0" t="inlineStr">
        <is>
          <t xml:space="preserve">Re-packing</t>
        </is>
      </c>
      <c r="I99" s="0" t="inlineStr">
        <is>
          <t xml:space="preserve">Normal</t>
        </is>
      </c>
      <c r="J99" s="0" t="inlineStr">
        <is>
          <t xml:space="preserve">07:00</t>
        </is>
      </c>
      <c r="K99" s="0" t="inlineStr">
        <is>
          <t xml:space="preserve">12:00</t>
        </is>
      </c>
      <c r="L99" s="9">
        <v>5</v>
      </c>
      <c r="M99" s="9">
        <v>5</v>
      </c>
      <c r="N99" s="6"/>
      <c r="O99" s="10">
        <f>IF(N99&lt;&gt;"",N99,M99)</f>
      </c>
      <c r="P99" s="4">
        <v>640</v>
      </c>
      <c r="Q99" s="7"/>
      <c r="R99" s="5">
        <f>IF(Q99&lt;&gt;"",Q99,IF(N99&lt;&gt;"",IF(M99&gt;0,ROUND(P99*N99/M99,2),0),P99))</f>
      </c>
      <c r="S99" s="9">
        <v>80</v>
      </c>
      <c r="T99" s="0" t="inlineStr">
        <is>
          <t xml:space="preserve">Petrus Saturday: R640 set day rate (06–16)</t>
        </is>
      </c>
      <c r="U99" s="6"/>
    </row>
    <row r="100">
      <c r="A100" s="0">
        <v>9904</v>
      </c>
      <c r="B100" s="0" t="inlineStr">
        <is>
          <t xml:space="preserve">Tsotlego Petrus Malakoane</t>
        </is>
      </c>
      <c r="C100" s="0" t="inlineStr">
        <is>
          <t xml:space="preserve">2026-09-28</t>
        </is>
      </c>
      <c r="D100" s="0" t="inlineStr">
        <is>
          <t xml:space="preserve">Monday</t>
        </is>
      </c>
      <c r="F100" s="0" t="inlineStr">
        <is>
          <t xml:space="preserve">Warehouse</t>
        </is>
      </c>
      <c r="G100" s="0" t="inlineStr">
        <is>
          <t xml:space="preserve">Henley on klip</t>
        </is>
      </c>
      <c r="H100" s="0" t="inlineStr">
        <is>
          <t xml:space="preserve">Offloading, recieving &amp; fridges cleaning</t>
        </is>
      </c>
      <c r="I100" s="0" t="inlineStr">
        <is>
          <t xml:space="preserve">Warehouse Team</t>
        </is>
      </c>
      <c r="J100" s="0" t="inlineStr">
        <is>
          <t xml:space="preserve">06:30</t>
        </is>
      </c>
      <c r="K100" s="0" t="inlineStr">
        <is>
          <t xml:space="preserve">16:00</t>
        </is>
      </c>
      <c r="L100" s="9">
        <v>9.5</v>
      </c>
      <c r="M100" s="9">
        <v>9.5</v>
      </c>
      <c r="N100" s="6"/>
      <c r="O100" s="10">
        <f>IF(N100&lt;&gt;"",N100,M100)</f>
      </c>
      <c r="P100" s="4">
        <v>640</v>
      </c>
      <c r="Q100" s="7"/>
      <c r="R100" s="5">
        <f>IF(Q100&lt;&gt;"",Q100,IF(N100&lt;&gt;"",IF(M100&gt;0,ROUND(P100*N100/M100,2),0),P100))</f>
      </c>
      <c r="S100" s="9">
        <v>55</v>
      </c>
      <c r="T100" s="0" t="inlineStr">
        <is>
          <t xml:space="preserve">Petrus weekday: R640 set day rate (06–16)</t>
        </is>
      </c>
      <c r="U100" s="6"/>
    </row>
    <row r="101">
      <c r="A101" s="0">
        <v>9908</v>
      </c>
      <c r="B101" s="0" t="inlineStr">
        <is>
          <t xml:space="preserve">Tsotlego Petrus Malakoane</t>
        </is>
      </c>
      <c r="C101" s="0" t="inlineStr">
        <is>
          <t xml:space="preserve">2026-09-29</t>
        </is>
      </c>
      <c r="D101" s="0" t="inlineStr">
        <is>
          <t xml:space="preserve">Tuesday</t>
        </is>
      </c>
      <c r="F101" s="0" t="inlineStr">
        <is>
          <t xml:space="preserve">Warehouse</t>
        </is>
      </c>
      <c r="G101" s="0" t="inlineStr">
        <is>
          <t xml:space="preserve">Henley on klip</t>
        </is>
      </c>
      <c r="H101" s="0" t="inlineStr">
        <is>
          <t xml:space="preserve">Load &amp; Recieving</t>
        </is>
      </c>
      <c r="I101" s="0" t="inlineStr">
        <is>
          <t xml:space="preserve">Warehouse Team</t>
        </is>
      </c>
      <c r="J101" s="0" t="inlineStr">
        <is>
          <t xml:space="preserve">06:30</t>
        </is>
      </c>
      <c r="K101" s="0" t="inlineStr">
        <is>
          <t xml:space="preserve">16:00</t>
        </is>
      </c>
      <c r="L101" s="9">
        <v>9.5</v>
      </c>
      <c r="M101" s="9">
        <v>9.5</v>
      </c>
      <c r="N101" s="6"/>
      <c r="O101" s="10">
        <f>IF(N101&lt;&gt;"",N101,M101)</f>
      </c>
      <c r="P101" s="4">
        <v>640</v>
      </c>
      <c r="Q101" s="7"/>
      <c r="R101" s="5">
        <f>IF(Q101&lt;&gt;"",Q101,IF(N101&lt;&gt;"",IF(M101&gt;0,ROUND(P101*N101/M101,2),0),P101))</f>
      </c>
      <c r="S101" s="9">
        <v>55</v>
      </c>
      <c r="T101" s="0" t="inlineStr">
        <is>
          <t xml:space="preserve">Petrus weekday: R640 set day rate (06–16)</t>
        </is>
      </c>
      <c r="U101" s="6"/>
    </row>
    <row r="102">
      <c r="A102" s="0">
        <v>9907</v>
      </c>
      <c r="B102" s="0" t="inlineStr">
        <is>
          <t xml:space="preserve">Tsotlego Petrus Malakoane</t>
        </is>
      </c>
      <c r="C102" s="0" t="inlineStr">
        <is>
          <t xml:space="preserve">2026-09-30</t>
        </is>
      </c>
      <c r="D102" s="0" t="inlineStr">
        <is>
          <t xml:space="preserve">Wednesday</t>
        </is>
      </c>
      <c r="F102" s="0" t="inlineStr">
        <is>
          <t xml:space="preserve">Warehouse</t>
        </is>
      </c>
      <c r="G102" s="0" t="inlineStr">
        <is>
          <t xml:space="preserve">Henley on klip</t>
        </is>
      </c>
      <c r="H102" s="0" t="inlineStr">
        <is>
          <t xml:space="preserve">Cleaning&amp;sorting dustbins</t>
        </is>
      </c>
      <c r="I102" s="0" t="inlineStr">
        <is>
          <t xml:space="preserve">Warehouse Team</t>
        </is>
      </c>
      <c r="J102" s="0" t="inlineStr">
        <is>
          <t xml:space="preserve">06:30</t>
        </is>
      </c>
      <c r="K102" s="0" t="inlineStr">
        <is>
          <t xml:space="preserve">16:00</t>
        </is>
      </c>
      <c r="L102" s="9">
        <v>9.5</v>
      </c>
      <c r="M102" s="9">
        <v>9.5</v>
      </c>
      <c r="N102" s="6"/>
      <c r="O102" s="10">
        <f>IF(N102&lt;&gt;"",N102,M102)</f>
      </c>
      <c r="P102" s="4">
        <v>640</v>
      </c>
      <c r="Q102" s="7"/>
      <c r="R102" s="5">
        <f>IF(Q102&lt;&gt;"",Q102,IF(N102&lt;&gt;"",IF(M102&gt;0,ROUND(P102*N102/M102,2),0),P102))</f>
      </c>
      <c r="S102" s="9">
        <v>55</v>
      </c>
      <c r="T102" s="0" t="inlineStr">
        <is>
          <t xml:space="preserve">Petrus weekday: R640 set day rate (06–16)</t>
        </is>
      </c>
      <c r="U102" s="6"/>
    </row>
    <row r="103">
      <c r="A103" s="0">
        <v>9906</v>
      </c>
      <c r="B103" s="0" t="inlineStr">
        <is>
          <t xml:space="preserve">Tsotlego Petrus Malakoane</t>
        </is>
      </c>
      <c r="C103" s="0" t="inlineStr">
        <is>
          <t xml:space="preserve">2026-10-01</t>
        </is>
      </c>
      <c r="D103" s="0" t="inlineStr">
        <is>
          <t xml:space="preserve">Thursday</t>
        </is>
      </c>
      <c r="F103" s="0" t="inlineStr">
        <is>
          <t xml:space="preserve">Warehouse</t>
        </is>
      </c>
      <c r="G103" s="0" t="inlineStr">
        <is>
          <t xml:space="preserve">Henley on klip</t>
        </is>
      </c>
      <c r="H103" s="0" t="inlineStr">
        <is>
          <t xml:space="preserve">Loading &amp; Re-packing</t>
        </is>
      </c>
      <c r="I103" s="0" t="inlineStr">
        <is>
          <t xml:space="preserve">Normal</t>
        </is>
      </c>
      <c r="J103" s="0" t="inlineStr">
        <is>
          <t xml:space="preserve">06:30</t>
        </is>
      </c>
      <c r="K103" s="0" t="inlineStr">
        <is>
          <t xml:space="preserve">16:00</t>
        </is>
      </c>
      <c r="L103" s="9">
        <v>9.5</v>
      </c>
      <c r="M103" s="9">
        <v>9.5</v>
      </c>
      <c r="N103" s="6"/>
      <c r="O103" s="10">
        <f>IF(N103&lt;&gt;"",N103,M103)</f>
      </c>
      <c r="P103" s="4">
        <v>640</v>
      </c>
      <c r="Q103" s="7"/>
      <c r="R103" s="5">
        <f>IF(Q103&lt;&gt;"",Q103,IF(N103&lt;&gt;"",IF(M103&gt;0,ROUND(P103*N103/M103,2),0),P103))</f>
      </c>
      <c r="S103" s="9">
        <v>55</v>
      </c>
      <c r="T103" s="0" t="inlineStr">
        <is>
          <t xml:space="preserve">Petrus weekday: R640 set day rate (06–16)</t>
        </is>
      </c>
      <c r="U103" s="6"/>
    </row>
    <row r="104">
      <c r="A104" s="0">
        <v>9905</v>
      </c>
      <c r="B104" s="0" t="inlineStr">
        <is>
          <t xml:space="preserve">Tsotlego Petrus Malakoane</t>
        </is>
      </c>
      <c r="C104" s="0" t="inlineStr">
        <is>
          <t xml:space="preserve">2026-10-02</t>
        </is>
      </c>
      <c r="D104" s="0" t="inlineStr">
        <is>
          <t xml:space="preserve">Friday</t>
        </is>
      </c>
      <c r="F104" s="0" t="inlineStr">
        <is>
          <t xml:space="preserve">Warehouse</t>
        </is>
      </c>
      <c r="G104" s="0" t="inlineStr">
        <is>
          <t xml:space="preserve">Henley on klip</t>
        </is>
      </c>
      <c r="H104" s="0" t="inlineStr">
        <is>
          <t xml:space="preserve">Recieving &amp; cleaning</t>
        </is>
      </c>
      <c r="I104" s="0" t="inlineStr">
        <is>
          <t xml:space="preserve">Warehouse Team</t>
        </is>
      </c>
      <c r="J104" s="0" t="inlineStr">
        <is>
          <t xml:space="preserve">06:30</t>
        </is>
      </c>
      <c r="K104" s="0" t="inlineStr">
        <is>
          <t xml:space="preserve">16:00</t>
        </is>
      </c>
      <c r="L104" s="9">
        <v>9.5</v>
      </c>
      <c r="M104" s="9">
        <v>9.5</v>
      </c>
      <c r="N104" s="6"/>
      <c r="O104" s="10">
        <f>IF(N104&lt;&gt;"",N104,M104)</f>
      </c>
      <c r="P104" s="4">
        <v>640</v>
      </c>
      <c r="Q104" s="7"/>
      <c r="R104" s="5">
        <f>IF(Q104&lt;&gt;"",Q104,IF(N104&lt;&gt;"",IF(M104&gt;0,ROUND(P104*N104/M104,2),0),P104))</f>
      </c>
      <c r="S104" s="9">
        <v>55</v>
      </c>
      <c r="T104" s="0" t="inlineStr">
        <is>
          <t xml:space="preserve">Petrus weekday: R640 set day rate (06–16)</t>
        </is>
      </c>
      <c r="U104" s="6"/>
    </row>
    <row r="106">
      <c r="A106" s="1" t="inlineStr">
        <is>
          <t xml:space="preserve">GRAND TOTAL</t>
        </is>
      </c>
      <c r="L106" s="10">
        <f>SUM(L5:L104)</f>
      </c>
      <c r="M106" s="10">
        <f>SUM(M5:M104)</f>
      </c>
      <c r="O106" s="10">
        <f>SUM(O5:O104)</f>
      </c>
      <c r="P106" s="5">
        <f>SUM(P5:P104)</f>
      </c>
      <c r="R106" s="5">
        <f>SUM(R5:R104)</f>
      </c>
    </row>
  </sheetData>
  <mergeCells count="2">
    <mergeCell ref="A1:X1"/>
    <mergeCell ref="A2:X2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6" customWidth="1"/>
    <col min="2" max="2" width="6" customWidth="1"/>
    <col min="3" max="3" width="10" customWidth="1"/>
    <col min="4" max="4" width="6" customWidth="1"/>
    <col min="5" max="5" width="10" customWidth="1"/>
    <col min="6" max="6" width="6" customWidth="1"/>
    <col min="7" max="7" width="10" customWidth="1"/>
    <col min="8" max="8" width="6" customWidth="1"/>
    <col min="9" max="9" width="10" customWidth="1"/>
    <col min="10" max="10" width="6" customWidth="1"/>
    <col min="11" max="11" width="10" customWidth="1"/>
    <col min="12" max="12" width="6" customWidth="1"/>
    <col min="13" max="13" width="10" customWidth="1"/>
    <col min="14" max="14" width="6" customWidth="1"/>
    <col min="15" max="15" width="10" customWidth="1"/>
    <col min="16" max="16" width="7" customWidth="1"/>
    <col min="17" max="17" width="11" customWidth="1"/>
    <col min="18" max="18" width="11" customWidth="1"/>
    <col min="19" max="19" width="12" customWidth="1"/>
    <col min="20" max="20" width="11" customWidth="1"/>
    <col min="21" max="21" width="11" customWidth="1"/>
    <col min="22" max="22" width="11" customWidth="1"/>
    <col min="23" max="23" width="11" customWidth="1"/>
    <col min="24" max="24" width="11" customWidth="1"/>
    <col min="25" max="25" width="11" customWidth="1"/>
    <col min="26" max="26" width="11" customWidth="1"/>
    <col min="27" max="27" width="12" customWidth="1"/>
  </cols>
  <sheetData>
    <row r="1">
      <c r="A1" s="2" t="inlineStr">
        <is>
          <t xml:space="preserve">Employee</t>
        </is>
      </c>
      <c r="B1" s="2" t="inlineStr">
        <is>
          <t xml:space="preserve">1  Sat</t>
        </is>
      </c>
      <c r="C1" s="2"/>
      <c r="D1" s="2" t="inlineStr">
        <is>
          <t xml:space="preserve">2  Sun</t>
        </is>
      </c>
      <c r="E1" s="2"/>
      <c r="F1" s="2" t="inlineStr">
        <is>
          <t xml:space="preserve">3  Mon</t>
        </is>
      </c>
      <c r="G1" s="2"/>
      <c r="H1" s="2" t="inlineStr">
        <is>
          <t xml:space="preserve">4  Tue</t>
        </is>
      </c>
      <c r="I1" s="2"/>
      <c r="J1" s="2" t="inlineStr">
        <is>
          <t xml:space="preserve">5  Wed</t>
        </is>
      </c>
      <c r="K1" s="2"/>
      <c r="L1" s="2" t="inlineStr">
        <is>
          <t xml:space="preserve">6  Thu</t>
        </is>
      </c>
      <c r="M1" s="2"/>
      <c r="N1" s="2" t="inlineStr">
        <is>
          <t xml:space="preserve">7  Fri</t>
        </is>
      </c>
      <c r="O1" s="2"/>
      <c r="P1" s="2" t="inlineStr">
        <is>
          <t xml:space="preserve">6  CATCH-UPS</t>
        </is>
      </c>
      <c r="Q1" s="2"/>
      <c r="R1" s="2" t="inlineStr">
        <is>
          <t xml:space="preserve">Total Hours (Sat–Fri + Missed)</t>
        </is>
      </c>
      <c r="S1" s="2" t="inlineStr">
        <is>
          <t xml:space="preserve">Wages (linked)</t>
        </is>
      </c>
      <c r="T1" s="2" t="inlineStr">
        <is>
          <t xml:space="preserve">Fixed Deductions Due</t>
        </is>
      </c>
      <c r="U1" s="2" t="inlineStr">
        <is>
          <t xml:space="preserve">Fixed Deducted (edit)</t>
        </is>
      </c>
      <c r="V1" s="2" t="inlineStr">
        <is>
          <t xml:space="preserve">Fixed Outstanding After Payroll</t>
        </is>
      </c>
      <c r="W1" s="2" t="inlineStr">
        <is>
          <t xml:space="preserve">Additional Loan Due</t>
        </is>
      </c>
      <c r="X1" s="2" t="inlineStr">
        <is>
          <t xml:space="preserve">Additional Loan Deducted (edit)</t>
        </is>
      </c>
      <c r="Y1" s="2" t="inlineStr">
        <is>
          <t xml:space="preserve">Additional Loan Outstanding After Payroll</t>
        </is>
      </c>
      <c r="Z1" s="2" t="inlineStr">
        <is>
          <t xml:space="preserve">Total Deducted This Period</t>
        </is>
      </c>
      <c r="AA1" s="2" t="inlineStr">
        <is>
          <t xml:space="preserve">NET WAGE</t>
        </is>
      </c>
    </row>
    <row r="2">
      <c r="A2" s="2"/>
      <c r="B2" s="2" t="inlineStr">
        <is>
          <t xml:space="preserve">2026-09-26</t>
        </is>
      </c>
      <c r="C2" s="2"/>
      <c r="D2" s="2" t="inlineStr">
        <is>
          <t xml:space="preserve">2026-09-27</t>
        </is>
      </c>
      <c r="E2" s="2"/>
      <c r="F2" s="2" t="inlineStr">
        <is>
          <t xml:space="preserve">2026-09-28</t>
        </is>
      </c>
      <c r="G2" s="2"/>
      <c r="H2" s="2" t="inlineStr">
        <is>
          <t xml:space="preserve">2026-09-29</t>
        </is>
      </c>
      <c r="I2" s="2"/>
      <c r="J2" s="2" t="inlineStr">
        <is>
          <t xml:space="preserve">2026-09-30</t>
        </is>
      </c>
      <c r="K2" s="2"/>
      <c r="L2" s="2" t="inlineStr">
        <is>
          <t xml:space="preserve">2026-10-01</t>
        </is>
      </c>
      <c r="M2" s="2"/>
      <c r="N2" s="2" t="inlineStr">
        <is>
          <t xml:space="preserve">2026-10-02</t>
        </is>
      </c>
      <c r="O2" s="2"/>
      <c r="P2" s="2" t="inlineStr">
        <is>
          <t xml:space="preserve">worked in previous payroll, entered late</t>
        </is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inlineStr">
        <is>
          <t xml:space="preserve">HR</t>
        </is>
      </c>
      <c r="C3" s="2" t="inlineStr">
        <is>
          <t xml:space="preserve">Amount</t>
        </is>
      </c>
      <c r="D3" s="2" t="inlineStr">
        <is>
          <t xml:space="preserve">HR</t>
        </is>
      </c>
      <c r="E3" s="2" t="inlineStr">
        <is>
          <t xml:space="preserve">Amount</t>
        </is>
      </c>
      <c r="F3" s="2" t="inlineStr">
        <is>
          <t xml:space="preserve">HR</t>
        </is>
      </c>
      <c r="G3" s="2" t="inlineStr">
        <is>
          <t xml:space="preserve">Amount</t>
        </is>
      </c>
      <c r="H3" s="2" t="inlineStr">
        <is>
          <t xml:space="preserve">HR</t>
        </is>
      </c>
      <c r="I3" s="2" t="inlineStr">
        <is>
          <t xml:space="preserve">Amount</t>
        </is>
      </c>
      <c r="J3" s="2" t="inlineStr">
        <is>
          <t xml:space="preserve">HR</t>
        </is>
      </c>
      <c r="K3" s="2" t="inlineStr">
        <is>
          <t xml:space="preserve">Amount</t>
        </is>
      </c>
      <c r="L3" s="2" t="inlineStr">
        <is>
          <t xml:space="preserve">HR</t>
        </is>
      </c>
      <c r="M3" s="2" t="inlineStr">
        <is>
          <t xml:space="preserve">Amount</t>
        </is>
      </c>
      <c r="N3" s="2" t="inlineStr">
        <is>
          <t xml:space="preserve">HR</t>
        </is>
      </c>
      <c r="O3" s="2" t="inlineStr">
        <is>
          <t xml:space="preserve">Amount</t>
        </is>
      </c>
      <c r="P3" s="2" t="inlineStr">
        <is>
          <t xml:space="preserve">HR</t>
        </is>
      </c>
      <c r="Q3" s="2" t="inlineStr">
        <is>
          <t xml:space="preserve">Amount</t>
        </is>
      </c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 t="inlineStr">
        <is>
          <t xml:space="preserve">Bhekizitha Maphosa</t>
        </is>
      </c>
      <c r="B4" s="16">
        <f>SUMIFS('Wage Detail Linked'!$O$5:$O$104,'Wage Detail Linked'!$B$5:$B$104,$A4,'Wage Detail Linked'!$C$5:$C$104,B$2,'Wage Detail Linked'!$E$5:$E$104,"")</f>
      </c>
      <c r="C4" s="4">
        <f>IF(SUMIFS('Wage Detail Linked'!$O$5:$O$104,'Wage Detail Linked'!$B$5:$B$104,$A4,'Wage Detail Linked'!$C$5:$C$104,B$2,'Wage Detail Linked'!$E$5:$E$104,"")=0,IF(B4&gt;0,ROUND(B4*90,2),0),ROUND(SUMIFS('Wage Detail Linked'!$R$5:$R$104,'Wage Detail Linked'!$B$5:$B$104,$A4,'Wage Detail Linked'!$C$5:$C$104,B$2,'Wage Detail Linked'!$E$5:$E$104,"")*B4/SUMIFS('Wage Detail Linked'!$O$5:$O$104,'Wage Detail Linked'!$B$5:$B$104,$A4,'Wage Detail Linked'!$C$5:$C$104,B$2,'Wage Detail Linked'!$E$5:$E$104,""),2))</f>
      </c>
      <c r="D4" s="16">
        <f>SUMIFS('Wage Detail Linked'!$O$5:$O$104,'Wage Detail Linked'!$B$5:$B$104,$A4,'Wage Detail Linked'!$C$5:$C$104,D$2,'Wage Detail Linked'!$E$5:$E$104,"")</f>
      </c>
      <c r="E4" s="4">
        <f>IF(SUMIFS('Wage Detail Linked'!$O$5:$O$104,'Wage Detail Linked'!$B$5:$B$104,$A4,'Wage Detail Linked'!$C$5:$C$104,D$2,'Wage Detail Linked'!$E$5:$E$104,"")=0,IF(D4&gt;0,ROUND(D4*90,2),0),ROUND(SUMIFS('Wage Detail Linked'!$R$5:$R$104,'Wage Detail Linked'!$B$5:$B$104,$A4,'Wage Detail Linked'!$C$5:$C$104,D$2,'Wage Detail Linked'!$E$5:$E$104,"")*D4/SUMIFS('Wage Detail Linked'!$O$5:$O$104,'Wage Detail Linked'!$B$5:$B$104,$A4,'Wage Detail Linked'!$C$5:$C$104,D$2,'Wage Detail Linked'!$E$5:$E$104,""),2))</f>
      </c>
      <c r="F4" s="16">
        <f>SUMIFS('Wage Detail Linked'!$O$5:$O$104,'Wage Detail Linked'!$B$5:$B$104,$A4,'Wage Detail Linked'!$C$5:$C$104,F$2,'Wage Detail Linked'!$E$5:$E$104,"")</f>
      </c>
      <c r="G4" s="4">
        <f>IF(SUMIFS('Wage Detail Linked'!$O$5:$O$104,'Wage Detail Linked'!$B$5:$B$104,$A4,'Wage Detail Linked'!$C$5:$C$104,F$2,'Wage Detail Linked'!$E$5:$E$104,"")=0,IF(F4&gt;0,ROUND(F4*90,2),0),ROUND(SUMIFS('Wage Detail Linked'!$R$5:$R$104,'Wage Detail Linked'!$B$5:$B$104,$A4,'Wage Detail Linked'!$C$5:$C$104,F$2,'Wage Detail Linked'!$E$5:$E$104,"")*F4/SUMIFS('Wage Detail Linked'!$O$5:$O$104,'Wage Detail Linked'!$B$5:$B$104,$A4,'Wage Detail Linked'!$C$5:$C$104,F$2,'Wage Detail Linked'!$E$5:$E$104,""),2))</f>
      </c>
      <c r="H4" s="16">
        <f>SUMIFS('Wage Detail Linked'!$O$5:$O$104,'Wage Detail Linked'!$B$5:$B$104,$A4,'Wage Detail Linked'!$C$5:$C$104,H$2,'Wage Detail Linked'!$E$5:$E$104,"")</f>
      </c>
      <c r="I4" s="4">
        <f>IF(SUMIFS('Wage Detail Linked'!$O$5:$O$104,'Wage Detail Linked'!$B$5:$B$104,$A4,'Wage Detail Linked'!$C$5:$C$104,H$2,'Wage Detail Linked'!$E$5:$E$104,"")=0,IF(H4&gt;0,ROUND(H4*90,2),0),ROUND(SUMIFS('Wage Detail Linked'!$R$5:$R$104,'Wage Detail Linked'!$B$5:$B$104,$A4,'Wage Detail Linked'!$C$5:$C$104,H$2,'Wage Detail Linked'!$E$5:$E$104,"")*H4/SUMIFS('Wage Detail Linked'!$O$5:$O$104,'Wage Detail Linked'!$B$5:$B$104,$A4,'Wage Detail Linked'!$C$5:$C$104,H$2,'Wage Detail Linked'!$E$5:$E$104,""),2))</f>
      </c>
      <c r="J4" s="16">
        <f>SUMIFS('Wage Detail Linked'!$O$5:$O$104,'Wage Detail Linked'!$B$5:$B$104,$A4,'Wage Detail Linked'!$C$5:$C$104,J$2,'Wage Detail Linked'!$E$5:$E$104,"")</f>
      </c>
      <c r="K4" s="4">
        <f>IF(SUMIFS('Wage Detail Linked'!$O$5:$O$104,'Wage Detail Linked'!$B$5:$B$104,$A4,'Wage Detail Linked'!$C$5:$C$104,J$2,'Wage Detail Linked'!$E$5:$E$104,"")=0,IF(J4&gt;0,ROUND(J4*90,2),0),ROUND(SUMIFS('Wage Detail Linked'!$R$5:$R$104,'Wage Detail Linked'!$B$5:$B$104,$A4,'Wage Detail Linked'!$C$5:$C$104,J$2,'Wage Detail Linked'!$E$5:$E$104,"")*J4/SUMIFS('Wage Detail Linked'!$O$5:$O$104,'Wage Detail Linked'!$B$5:$B$104,$A4,'Wage Detail Linked'!$C$5:$C$104,J$2,'Wage Detail Linked'!$E$5:$E$104,""),2))</f>
      </c>
      <c r="L4" s="16">
        <f>SUMIFS('Wage Detail Linked'!$O$5:$O$104,'Wage Detail Linked'!$B$5:$B$104,$A4,'Wage Detail Linked'!$C$5:$C$104,L$2,'Wage Detail Linked'!$E$5:$E$104,"")</f>
      </c>
      <c r="M4" s="4">
        <f>IF(SUMIFS('Wage Detail Linked'!$O$5:$O$104,'Wage Detail Linked'!$B$5:$B$104,$A4,'Wage Detail Linked'!$C$5:$C$104,L$2,'Wage Detail Linked'!$E$5:$E$104,"")=0,IF(L4&gt;0,ROUND(L4*90,2),0),ROUND(SUMIFS('Wage Detail Linked'!$R$5:$R$104,'Wage Detail Linked'!$B$5:$B$104,$A4,'Wage Detail Linked'!$C$5:$C$104,L$2,'Wage Detail Linked'!$E$5:$E$104,"")*L4/SUMIFS('Wage Detail Linked'!$O$5:$O$104,'Wage Detail Linked'!$B$5:$B$104,$A4,'Wage Detail Linked'!$C$5:$C$104,L$2,'Wage Detail Linked'!$E$5:$E$104,""),2))</f>
      </c>
      <c r="N4" s="16">
        <f>SUMIFS('Wage Detail Linked'!$O$5:$O$104,'Wage Detail Linked'!$B$5:$B$104,$A4,'Wage Detail Linked'!$C$5:$C$104,N$2,'Wage Detail Linked'!$E$5:$E$104,"")</f>
      </c>
      <c r="O4" s="4">
        <f>IF(SUMIFS('Wage Detail Linked'!$O$5:$O$104,'Wage Detail Linked'!$B$5:$B$104,$A4,'Wage Detail Linked'!$C$5:$C$104,N$2,'Wage Detail Linked'!$E$5:$E$104,"")=0,IF(N4&gt;0,ROUND(N4*90,2),0),ROUND(SUMIFS('Wage Detail Linked'!$R$5:$R$104,'Wage Detail Linked'!$B$5:$B$104,$A4,'Wage Detail Linked'!$C$5:$C$104,N$2,'Wage Detail Linked'!$E$5:$E$104,"")*N4/SUMIFS('Wage Detail Linked'!$O$5:$O$104,'Wage Detail Linked'!$B$5:$B$104,$A4,'Wage Detail Linked'!$C$5:$C$104,N$2,'Wage Detail Linked'!$E$5:$E$104,""),2))</f>
      </c>
      <c r="P4" s="16">
        <f>0</f>
      </c>
      <c r="Q4" s="13">
        <f>IF(P4&gt;0,ROUND(P4*90,2),0)</f>
      </c>
      <c r="R4" s="10">
        <f>SUM(B4,D4,F4,H4,J4,L4,N4,P4)</f>
      </c>
      <c r="S4" s="5">
        <f>SUM(C4,E4,G4,I4,K4,M4,O4,Q4)</f>
      </c>
      <c r="T4" s="4">
        <v>0</v>
      </c>
      <c r="U4" s="7">
        <v>0</v>
      </c>
      <c r="V4" s="4">
        <f>MAX(0,T4-U4)</f>
      </c>
      <c r="W4" s="4">
        <v>0</v>
      </c>
      <c r="X4" s="7">
        <v>0</v>
      </c>
      <c r="Y4" s="4">
        <f>MAX(0,0-X4)</f>
      </c>
      <c r="Z4" s="4">
        <f>U4+X4</f>
      </c>
      <c r="AA4" s="13">
        <f>MAX(0,S4-Z4)</f>
      </c>
    </row>
    <row r="5">
      <c r="A5" s="1" t="inlineStr">
        <is>
          <t xml:space="preserve">Brian Ndlovu</t>
        </is>
      </c>
      <c r="B5" s="16">
        <f>SUMIFS('Wage Detail Linked'!$O$5:$O$104,'Wage Detail Linked'!$B$5:$B$104,$A5,'Wage Detail Linked'!$C$5:$C$104,B$2,'Wage Detail Linked'!$E$5:$E$104,"")</f>
      </c>
      <c r="C5" s="4">
        <f>IF(SUMIFS('Wage Detail Linked'!$O$5:$O$104,'Wage Detail Linked'!$B$5:$B$104,$A5,'Wage Detail Linked'!$C$5:$C$104,B$2,'Wage Detail Linked'!$E$5:$E$104,"")=0,IF(B5&gt;0,ROUND(B5*90,2),0),ROUND(SUMIFS('Wage Detail Linked'!$R$5:$R$104,'Wage Detail Linked'!$B$5:$B$104,$A5,'Wage Detail Linked'!$C$5:$C$104,B$2,'Wage Detail Linked'!$E$5:$E$104,"")*B5/SUMIFS('Wage Detail Linked'!$O$5:$O$104,'Wage Detail Linked'!$B$5:$B$104,$A5,'Wage Detail Linked'!$C$5:$C$104,B$2,'Wage Detail Linked'!$E$5:$E$104,""),2))</f>
      </c>
      <c r="D5" s="16">
        <f>SUMIFS('Wage Detail Linked'!$O$5:$O$104,'Wage Detail Linked'!$B$5:$B$104,$A5,'Wage Detail Linked'!$C$5:$C$104,D$2,'Wage Detail Linked'!$E$5:$E$104,"")</f>
      </c>
      <c r="E5" s="4">
        <f>IF(SUMIFS('Wage Detail Linked'!$O$5:$O$104,'Wage Detail Linked'!$B$5:$B$104,$A5,'Wage Detail Linked'!$C$5:$C$104,D$2,'Wage Detail Linked'!$E$5:$E$104,"")=0,IF(D5&gt;0,ROUND(D5*90,2),0),ROUND(SUMIFS('Wage Detail Linked'!$R$5:$R$104,'Wage Detail Linked'!$B$5:$B$104,$A5,'Wage Detail Linked'!$C$5:$C$104,D$2,'Wage Detail Linked'!$E$5:$E$104,"")*D5/SUMIFS('Wage Detail Linked'!$O$5:$O$104,'Wage Detail Linked'!$B$5:$B$104,$A5,'Wage Detail Linked'!$C$5:$C$104,D$2,'Wage Detail Linked'!$E$5:$E$104,""),2))</f>
      </c>
      <c r="F5" s="16">
        <f>SUMIFS('Wage Detail Linked'!$O$5:$O$104,'Wage Detail Linked'!$B$5:$B$104,$A5,'Wage Detail Linked'!$C$5:$C$104,F$2,'Wage Detail Linked'!$E$5:$E$104,"")</f>
      </c>
      <c r="G5" s="4">
        <f>IF(SUMIFS('Wage Detail Linked'!$O$5:$O$104,'Wage Detail Linked'!$B$5:$B$104,$A5,'Wage Detail Linked'!$C$5:$C$104,F$2,'Wage Detail Linked'!$E$5:$E$104,"")=0,IF(F5&gt;0,ROUND(F5*90,2),0),ROUND(SUMIFS('Wage Detail Linked'!$R$5:$R$104,'Wage Detail Linked'!$B$5:$B$104,$A5,'Wage Detail Linked'!$C$5:$C$104,F$2,'Wage Detail Linked'!$E$5:$E$104,"")*F5/SUMIFS('Wage Detail Linked'!$O$5:$O$104,'Wage Detail Linked'!$B$5:$B$104,$A5,'Wage Detail Linked'!$C$5:$C$104,F$2,'Wage Detail Linked'!$E$5:$E$104,""),2))</f>
      </c>
      <c r="H5" s="16">
        <f>SUMIFS('Wage Detail Linked'!$O$5:$O$104,'Wage Detail Linked'!$B$5:$B$104,$A5,'Wage Detail Linked'!$C$5:$C$104,H$2,'Wage Detail Linked'!$E$5:$E$104,"")</f>
      </c>
      <c r="I5" s="4">
        <f>IF(SUMIFS('Wage Detail Linked'!$O$5:$O$104,'Wage Detail Linked'!$B$5:$B$104,$A5,'Wage Detail Linked'!$C$5:$C$104,H$2,'Wage Detail Linked'!$E$5:$E$104,"")=0,IF(H5&gt;0,ROUND(H5*90,2),0),ROUND(SUMIFS('Wage Detail Linked'!$R$5:$R$104,'Wage Detail Linked'!$B$5:$B$104,$A5,'Wage Detail Linked'!$C$5:$C$104,H$2,'Wage Detail Linked'!$E$5:$E$104,"")*H5/SUMIFS('Wage Detail Linked'!$O$5:$O$104,'Wage Detail Linked'!$B$5:$B$104,$A5,'Wage Detail Linked'!$C$5:$C$104,H$2,'Wage Detail Linked'!$E$5:$E$104,""),2))</f>
      </c>
      <c r="J5" s="16">
        <f>SUMIFS('Wage Detail Linked'!$O$5:$O$104,'Wage Detail Linked'!$B$5:$B$104,$A5,'Wage Detail Linked'!$C$5:$C$104,J$2,'Wage Detail Linked'!$E$5:$E$104,"")</f>
      </c>
      <c r="K5" s="4">
        <f>IF(SUMIFS('Wage Detail Linked'!$O$5:$O$104,'Wage Detail Linked'!$B$5:$B$104,$A5,'Wage Detail Linked'!$C$5:$C$104,J$2,'Wage Detail Linked'!$E$5:$E$104,"")=0,IF(J5&gt;0,ROUND(J5*90,2),0),ROUND(SUMIFS('Wage Detail Linked'!$R$5:$R$104,'Wage Detail Linked'!$B$5:$B$104,$A5,'Wage Detail Linked'!$C$5:$C$104,J$2,'Wage Detail Linked'!$E$5:$E$104,"")*J5/SUMIFS('Wage Detail Linked'!$O$5:$O$104,'Wage Detail Linked'!$B$5:$B$104,$A5,'Wage Detail Linked'!$C$5:$C$104,J$2,'Wage Detail Linked'!$E$5:$E$104,""),2))</f>
      </c>
      <c r="L5" s="16">
        <f>SUMIFS('Wage Detail Linked'!$O$5:$O$104,'Wage Detail Linked'!$B$5:$B$104,$A5,'Wage Detail Linked'!$C$5:$C$104,L$2,'Wage Detail Linked'!$E$5:$E$104,"")</f>
      </c>
      <c r="M5" s="4">
        <f>IF(SUMIFS('Wage Detail Linked'!$O$5:$O$104,'Wage Detail Linked'!$B$5:$B$104,$A5,'Wage Detail Linked'!$C$5:$C$104,L$2,'Wage Detail Linked'!$E$5:$E$104,"")=0,IF(L5&gt;0,ROUND(L5*90,2),0),ROUND(SUMIFS('Wage Detail Linked'!$R$5:$R$104,'Wage Detail Linked'!$B$5:$B$104,$A5,'Wage Detail Linked'!$C$5:$C$104,L$2,'Wage Detail Linked'!$E$5:$E$104,"")*L5/SUMIFS('Wage Detail Linked'!$O$5:$O$104,'Wage Detail Linked'!$B$5:$B$104,$A5,'Wage Detail Linked'!$C$5:$C$104,L$2,'Wage Detail Linked'!$E$5:$E$104,""),2))</f>
      </c>
      <c r="N5" s="16">
        <f>SUMIFS('Wage Detail Linked'!$O$5:$O$104,'Wage Detail Linked'!$B$5:$B$104,$A5,'Wage Detail Linked'!$C$5:$C$104,N$2,'Wage Detail Linked'!$E$5:$E$104,"")</f>
      </c>
      <c r="O5" s="4">
        <f>IF(SUMIFS('Wage Detail Linked'!$O$5:$O$104,'Wage Detail Linked'!$B$5:$B$104,$A5,'Wage Detail Linked'!$C$5:$C$104,N$2,'Wage Detail Linked'!$E$5:$E$104,"")=0,IF(N5&gt;0,ROUND(N5*90,2),0),ROUND(SUMIFS('Wage Detail Linked'!$R$5:$R$104,'Wage Detail Linked'!$B$5:$B$104,$A5,'Wage Detail Linked'!$C$5:$C$104,N$2,'Wage Detail Linked'!$E$5:$E$104,"")*N5/SUMIFS('Wage Detail Linked'!$O$5:$O$104,'Wage Detail Linked'!$B$5:$B$104,$A5,'Wage Detail Linked'!$C$5:$C$104,N$2,'Wage Detail Linked'!$E$5:$E$104,""),2))</f>
      </c>
      <c r="P5" s="16">
        <f>0</f>
      </c>
      <c r="Q5" s="13">
        <f>IF(P5&gt;0,ROUND(P5*90,2),0)</f>
      </c>
      <c r="R5" s="10">
        <f>SUM(B5,D5,F5,H5,J5,L5,N5,P5)</f>
      </c>
      <c r="S5" s="5">
        <v>2500</v>
      </c>
      <c r="T5" s="4">
        <v>0</v>
      </c>
      <c r="U5" s="7">
        <v>0</v>
      </c>
      <c r="V5" s="4">
        <f>MAX(0,T5-U5)</f>
      </c>
      <c r="W5" s="4">
        <v>0</v>
      </c>
      <c r="X5" s="7">
        <v>0</v>
      </c>
      <c r="Y5" s="4">
        <f>MAX(0,0-X5)</f>
      </c>
      <c r="Z5" s="4">
        <f>U5+X5</f>
      </c>
      <c r="AA5" s="13">
        <f>MAX(0,S5-Z5)</f>
      </c>
    </row>
    <row r="6">
      <c r="A6" s="1" t="inlineStr">
        <is>
          <t xml:space="preserve">Daniel Motaung</t>
        </is>
      </c>
      <c r="B6" s="16">
        <f>SUMIFS('Wage Detail Linked'!$O$5:$O$104,'Wage Detail Linked'!$B$5:$B$104,$A6,'Wage Detail Linked'!$C$5:$C$104,B$2,'Wage Detail Linked'!$E$5:$E$104,"")</f>
      </c>
      <c r="C6" s="4">
        <f>IF(SUMIFS('Wage Detail Linked'!$O$5:$O$104,'Wage Detail Linked'!$B$5:$B$104,$A6,'Wage Detail Linked'!$C$5:$C$104,B$2,'Wage Detail Linked'!$E$5:$E$104,"")=0,IF(B6&gt;0,ROUND(B6*90,2),0),ROUND(SUMIFS('Wage Detail Linked'!$R$5:$R$104,'Wage Detail Linked'!$B$5:$B$104,$A6,'Wage Detail Linked'!$C$5:$C$104,B$2,'Wage Detail Linked'!$E$5:$E$104,"")*B6/SUMIFS('Wage Detail Linked'!$O$5:$O$104,'Wage Detail Linked'!$B$5:$B$104,$A6,'Wage Detail Linked'!$C$5:$C$104,B$2,'Wage Detail Linked'!$E$5:$E$104,""),2))</f>
      </c>
      <c r="D6" s="16">
        <f>SUMIFS('Wage Detail Linked'!$O$5:$O$104,'Wage Detail Linked'!$B$5:$B$104,$A6,'Wage Detail Linked'!$C$5:$C$104,D$2,'Wage Detail Linked'!$E$5:$E$104,"")</f>
      </c>
      <c r="E6" s="4">
        <f>IF(SUMIFS('Wage Detail Linked'!$O$5:$O$104,'Wage Detail Linked'!$B$5:$B$104,$A6,'Wage Detail Linked'!$C$5:$C$104,D$2,'Wage Detail Linked'!$E$5:$E$104,"")=0,IF(D6&gt;0,ROUND(D6*90,2),0),ROUND(SUMIFS('Wage Detail Linked'!$R$5:$R$104,'Wage Detail Linked'!$B$5:$B$104,$A6,'Wage Detail Linked'!$C$5:$C$104,D$2,'Wage Detail Linked'!$E$5:$E$104,"")*D6/SUMIFS('Wage Detail Linked'!$O$5:$O$104,'Wage Detail Linked'!$B$5:$B$104,$A6,'Wage Detail Linked'!$C$5:$C$104,D$2,'Wage Detail Linked'!$E$5:$E$104,""),2))</f>
      </c>
      <c r="F6" s="16">
        <f>SUMIFS('Wage Detail Linked'!$O$5:$O$104,'Wage Detail Linked'!$B$5:$B$104,$A6,'Wage Detail Linked'!$C$5:$C$104,F$2,'Wage Detail Linked'!$E$5:$E$104,"")</f>
      </c>
      <c r="G6" s="4">
        <f>IF(SUMIFS('Wage Detail Linked'!$O$5:$O$104,'Wage Detail Linked'!$B$5:$B$104,$A6,'Wage Detail Linked'!$C$5:$C$104,F$2,'Wage Detail Linked'!$E$5:$E$104,"")=0,IF(F6&gt;0,ROUND(F6*90,2),0),ROUND(SUMIFS('Wage Detail Linked'!$R$5:$R$104,'Wage Detail Linked'!$B$5:$B$104,$A6,'Wage Detail Linked'!$C$5:$C$104,F$2,'Wage Detail Linked'!$E$5:$E$104,"")*F6/SUMIFS('Wage Detail Linked'!$O$5:$O$104,'Wage Detail Linked'!$B$5:$B$104,$A6,'Wage Detail Linked'!$C$5:$C$104,F$2,'Wage Detail Linked'!$E$5:$E$104,""),2))</f>
      </c>
      <c r="H6" s="16">
        <f>SUMIFS('Wage Detail Linked'!$O$5:$O$104,'Wage Detail Linked'!$B$5:$B$104,$A6,'Wage Detail Linked'!$C$5:$C$104,H$2,'Wage Detail Linked'!$E$5:$E$104,"")</f>
      </c>
      <c r="I6" s="4">
        <f>IF(SUMIFS('Wage Detail Linked'!$O$5:$O$104,'Wage Detail Linked'!$B$5:$B$104,$A6,'Wage Detail Linked'!$C$5:$C$104,H$2,'Wage Detail Linked'!$E$5:$E$104,"")=0,IF(H6&gt;0,ROUND(H6*90,2),0),ROUND(SUMIFS('Wage Detail Linked'!$R$5:$R$104,'Wage Detail Linked'!$B$5:$B$104,$A6,'Wage Detail Linked'!$C$5:$C$104,H$2,'Wage Detail Linked'!$E$5:$E$104,"")*H6/SUMIFS('Wage Detail Linked'!$O$5:$O$104,'Wage Detail Linked'!$B$5:$B$104,$A6,'Wage Detail Linked'!$C$5:$C$104,H$2,'Wage Detail Linked'!$E$5:$E$104,""),2))</f>
      </c>
      <c r="J6" s="16">
        <f>SUMIFS('Wage Detail Linked'!$O$5:$O$104,'Wage Detail Linked'!$B$5:$B$104,$A6,'Wage Detail Linked'!$C$5:$C$104,J$2,'Wage Detail Linked'!$E$5:$E$104,"")</f>
      </c>
      <c r="K6" s="4">
        <f>IF(SUMIFS('Wage Detail Linked'!$O$5:$O$104,'Wage Detail Linked'!$B$5:$B$104,$A6,'Wage Detail Linked'!$C$5:$C$104,J$2,'Wage Detail Linked'!$E$5:$E$104,"")=0,IF(J6&gt;0,ROUND(J6*90,2),0),ROUND(SUMIFS('Wage Detail Linked'!$R$5:$R$104,'Wage Detail Linked'!$B$5:$B$104,$A6,'Wage Detail Linked'!$C$5:$C$104,J$2,'Wage Detail Linked'!$E$5:$E$104,"")*J6/SUMIFS('Wage Detail Linked'!$O$5:$O$104,'Wage Detail Linked'!$B$5:$B$104,$A6,'Wage Detail Linked'!$C$5:$C$104,J$2,'Wage Detail Linked'!$E$5:$E$104,""),2))</f>
      </c>
      <c r="L6" s="16">
        <f>SUMIFS('Wage Detail Linked'!$O$5:$O$104,'Wage Detail Linked'!$B$5:$B$104,$A6,'Wage Detail Linked'!$C$5:$C$104,L$2,'Wage Detail Linked'!$E$5:$E$104,"")</f>
      </c>
      <c r="M6" s="4">
        <f>IF(SUMIFS('Wage Detail Linked'!$O$5:$O$104,'Wage Detail Linked'!$B$5:$B$104,$A6,'Wage Detail Linked'!$C$5:$C$104,L$2,'Wage Detail Linked'!$E$5:$E$104,"")=0,IF(L6&gt;0,ROUND(L6*90,2),0),ROUND(SUMIFS('Wage Detail Linked'!$R$5:$R$104,'Wage Detail Linked'!$B$5:$B$104,$A6,'Wage Detail Linked'!$C$5:$C$104,L$2,'Wage Detail Linked'!$E$5:$E$104,"")*L6/SUMIFS('Wage Detail Linked'!$O$5:$O$104,'Wage Detail Linked'!$B$5:$B$104,$A6,'Wage Detail Linked'!$C$5:$C$104,L$2,'Wage Detail Linked'!$E$5:$E$104,""),2))</f>
      </c>
      <c r="N6" s="16">
        <f>SUMIFS('Wage Detail Linked'!$O$5:$O$104,'Wage Detail Linked'!$B$5:$B$104,$A6,'Wage Detail Linked'!$C$5:$C$104,N$2,'Wage Detail Linked'!$E$5:$E$104,"")</f>
      </c>
      <c r="O6" s="4">
        <f>IF(SUMIFS('Wage Detail Linked'!$O$5:$O$104,'Wage Detail Linked'!$B$5:$B$104,$A6,'Wage Detail Linked'!$C$5:$C$104,N$2,'Wage Detail Linked'!$E$5:$E$104,"")=0,IF(N6&gt;0,ROUND(N6*90,2),0),ROUND(SUMIFS('Wage Detail Linked'!$R$5:$R$104,'Wage Detail Linked'!$B$5:$B$104,$A6,'Wage Detail Linked'!$C$5:$C$104,N$2,'Wage Detail Linked'!$E$5:$E$104,"")*N6/SUMIFS('Wage Detail Linked'!$O$5:$O$104,'Wage Detail Linked'!$B$5:$B$104,$A6,'Wage Detail Linked'!$C$5:$C$104,N$2,'Wage Detail Linked'!$E$5:$E$104,""),2))</f>
      </c>
      <c r="P6" s="16">
        <f>0</f>
      </c>
      <c r="Q6" s="13">
        <f>IF(P6&gt;0,ROUND(P6*90,2),0)</f>
      </c>
      <c r="R6" s="10">
        <f>SUM(B6,D6,F6,H6,J6,L6,N6,P6)</f>
      </c>
      <c r="S6" s="5">
        <f>SUM(C6,E6,G6,I6,K6,M6,O6,Q6)</f>
      </c>
      <c r="T6" s="4">
        <v>0</v>
      </c>
      <c r="U6" s="7">
        <v>0</v>
      </c>
      <c r="V6" s="4">
        <f>MAX(0,T6-U6)</f>
      </c>
      <c r="W6" s="4">
        <v>0</v>
      </c>
      <c r="X6" s="7">
        <v>0</v>
      </c>
      <c r="Y6" s="4">
        <f>MAX(0,0-X6)</f>
      </c>
      <c r="Z6" s="4">
        <f>U6+X6</f>
      </c>
      <c r="AA6" s="13">
        <f>MAX(0,S6-Z6)</f>
      </c>
    </row>
    <row r="7">
      <c r="A7" s="1" t="inlineStr">
        <is>
          <t xml:space="preserve">Erence Mngomezulu</t>
        </is>
      </c>
      <c r="B7" s="16">
        <f>SUMIFS('Wage Detail Linked'!$O$5:$O$104,'Wage Detail Linked'!$B$5:$B$104,$A7,'Wage Detail Linked'!$C$5:$C$104,B$2,'Wage Detail Linked'!$E$5:$E$104,"")</f>
      </c>
      <c r="C7" s="4">
        <f>IF(SUMIFS('Wage Detail Linked'!$O$5:$O$104,'Wage Detail Linked'!$B$5:$B$104,$A7,'Wage Detail Linked'!$C$5:$C$104,B$2,'Wage Detail Linked'!$E$5:$E$104,"")=0,IF(B7&gt;0,ROUND(B7*90,2),0),ROUND(SUMIFS('Wage Detail Linked'!$R$5:$R$104,'Wage Detail Linked'!$B$5:$B$104,$A7,'Wage Detail Linked'!$C$5:$C$104,B$2,'Wage Detail Linked'!$E$5:$E$104,"")*B7/SUMIFS('Wage Detail Linked'!$O$5:$O$104,'Wage Detail Linked'!$B$5:$B$104,$A7,'Wage Detail Linked'!$C$5:$C$104,B$2,'Wage Detail Linked'!$E$5:$E$104,""),2))</f>
      </c>
      <c r="D7" s="16">
        <f>SUMIFS('Wage Detail Linked'!$O$5:$O$104,'Wage Detail Linked'!$B$5:$B$104,$A7,'Wage Detail Linked'!$C$5:$C$104,D$2,'Wage Detail Linked'!$E$5:$E$104,"")</f>
      </c>
      <c r="E7" s="4">
        <f>IF(SUMIFS('Wage Detail Linked'!$O$5:$O$104,'Wage Detail Linked'!$B$5:$B$104,$A7,'Wage Detail Linked'!$C$5:$C$104,D$2,'Wage Detail Linked'!$E$5:$E$104,"")=0,IF(D7&gt;0,ROUND(D7*90,2),0),ROUND(SUMIFS('Wage Detail Linked'!$R$5:$R$104,'Wage Detail Linked'!$B$5:$B$104,$A7,'Wage Detail Linked'!$C$5:$C$104,D$2,'Wage Detail Linked'!$E$5:$E$104,"")*D7/SUMIFS('Wage Detail Linked'!$O$5:$O$104,'Wage Detail Linked'!$B$5:$B$104,$A7,'Wage Detail Linked'!$C$5:$C$104,D$2,'Wage Detail Linked'!$E$5:$E$104,""),2))</f>
      </c>
      <c r="F7" s="16">
        <f>SUMIFS('Wage Detail Linked'!$O$5:$O$104,'Wage Detail Linked'!$B$5:$B$104,$A7,'Wage Detail Linked'!$C$5:$C$104,F$2,'Wage Detail Linked'!$E$5:$E$104,"")</f>
      </c>
      <c r="G7" s="4">
        <f>IF(SUMIFS('Wage Detail Linked'!$O$5:$O$104,'Wage Detail Linked'!$B$5:$B$104,$A7,'Wage Detail Linked'!$C$5:$C$104,F$2,'Wage Detail Linked'!$E$5:$E$104,"")=0,IF(F7&gt;0,ROUND(F7*90,2),0),ROUND(SUMIFS('Wage Detail Linked'!$R$5:$R$104,'Wage Detail Linked'!$B$5:$B$104,$A7,'Wage Detail Linked'!$C$5:$C$104,F$2,'Wage Detail Linked'!$E$5:$E$104,"")*F7/SUMIFS('Wage Detail Linked'!$O$5:$O$104,'Wage Detail Linked'!$B$5:$B$104,$A7,'Wage Detail Linked'!$C$5:$C$104,F$2,'Wage Detail Linked'!$E$5:$E$104,""),2))</f>
      </c>
      <c r="H7" s="16">
        <f>SUMIFS('Wage Detail Linked'!$O$5:$O$104,'Wage Detail Linked'!$B$5:$B$104,$A7,'Wage Detail Linked'!$C$5:$C$104,H$2,'Wage Detail Linked'!$E$5:$E$104,"")</f>
      </c>
      <c r="I7" s="4">
        <f>IF(SUMIFS('Wage Detail Linked'!$O$5:$O$104,'Wage Detail Linked'!$B$5:$B$104,$A7,'Wage Detail Linked'!$C$5:$C$104,H$2,'Wage Detail Linked'!$E$5:$E$104,"")=0,IF(H7&gt;0,ROUND(H7*90,2),0),ROUND(SUMIFS('Wage Detail Linked'!$R$5:$R$104,'Wage Detail Linked'!$B$5:$B$104,$A7,'Wage Detail Linked'!$C$5:$C$104,H$2,'Wage Detail Linked'!$E$5:$E$104,"")*H7/SUMIFS('Wage Detail Linked'!$O$5:$O$104,'Wage Detail Linked'!$B$5:$B$104,$A7,'Wage Detail Linked'!$C$5:$C$104,H$2,'Wage Detail Linked'!$E$5:$E$104,""),2))</f>
      </c>
      <c r="J7" s="16">
        <f>SUMIFS('Wage Detail Linked'!$O$5:$O$104,'Wage Detail Linked'!$B$5:$B$104,$A7,'Wage Detail Linked'!$C$5:$C$104,J$2,'Wage Detail Linked'!$E$5:$E$104,"")</f>
      </c>
      <c r="K7" s="4">
        <f>IF(SUMIFS('Wage Detail Linked'!$O$5:$O$104,'Wage Detail Linked'!$B$5:$B$104,$A7,'Wage Detail Linked'!$C$5:$C$104,J$2,'Wage Detail Linked'!$E$5:$E$104,"")=0,IF(J7&gt;0,ROUND(J7*90,2),0),ROUND(SUMIFS('Wage Detail Linked'!$R$5:$R$104,'Wage Detail Linked'!$B$5:$B$104,$A7,'Wage Detail Linked'!$C$5:$C$104,J$2,'Wage Detail Linked'!$E$5:$E$104,"")*J7/SUMIFS('Wage Detail Linked'!$O$5:$O$104,'Wage Detail Linked'!$B$5:$B$104,$A7,'Wage Detail Linked'!$C$5:$C$104,J$2,'Wage Detail Linked'!$E$5:$E$104,""),2))</f>
      </c>
      <c r="L7" s="16">
        <f>SUMIFS('Wage Detail Linked'!$O$5:$O$104,'Wage Detail Linked'!$B$5:$B$104,$A7,'Wage Detail Linked'!$C$5:$C$104,L$2,'Wage Detail Linked'!$E$5:$E$104,"")</f>
      </c>
      <c r="M7" s="4">
        <f>IF(SUMIFS('Wage Detail Linked'!$O$5:$O$104,'Wage Detail Linked'!$B$5:$B$104,$A7,'Wage Detail Linked'!$C$5:$C$104,L$2,'Wage Detail Linked'!$E$5:$E$104,"")=0,IF(L7&gt;0,ROUND(L7*90,2),0),ROUND(SUMIFS('Wage Detail Linked'!$R$5:$R$104,'Wage Detail Linked'!$B$5:$B$104,$A7,'Wage Detail Linked'!$C$5:$C$104,L$2,'Wage Detail Linked'!$E$5:$E$104,"")*L7/SUMIFS('Wage Detail Linked'!$O$5:$O$104,'Wage Detail Linked'!$B$5:$B$104,$A7,'Wage Detail Linked'!$C$5:$C$104,L$2,'Wage Detail Linked'!$E$5:$E$104,""),2))</f>
      </c>
      <c r="N7" s="16">
        <f>SUMIFS('Wage Detail Linked'!$O$5:$O$104,'Wage Detail Linked'!$B$5:$B$104,$A7,'Wage Detail Linked'!$C$5:$C$104,N$2,'Wage Detail Linked'!$E$5:$E$104,"")</f>
      </c>
      <c r="O7" s="4">
        <f>IF(SUMIFS('Wage Detail Linked'!$O$5:$O$104,'Wage Detail Linked'!$B$5:$B$104,$A7,'Wage Detail Linked'!$C$5:$C$104,N$2,'Wage Detail Linked'!$E$5:$E$104,"")=0,IF(N7&gt;0,ROUND(N7*90,2),0),ROUND(SUMIFS('Wage Detail Linked'!$R$5:$R$104,'Wage Detail Linked'!$B$5:$B$104,$A7,'Wage Detail Linked'!$C$5:$C$104,N$2,'Wage Detail Linked'!$E$5:$E$104,"")*N7/SUMIFS('Wage Detail Linked'!$O$5:$O$104,'Wage Detail Linked'!$B$5:$B$104,$A7,'Wage Detail Linked'!$C$5:$C$104,N$2,'Wage Detail Linked'!$E$5:$E$104,""),2))</f>
      </c>
      <c r="P7" s="16">
        <f>'Missed Shifts'!C7</f>
      </c>
      <c r="Q7" s="13">
        <f>IF('Missed Shifts'!C7=0,IF(P7&gt;0,ROUND(P7*90,2),0),ROUND('Missed Shifts'!D7*P7/'Missed Shifts'!C7,2))</f>
      </c>
      <c r="R7" s="10">
        <f>SUM(B7,D7,F7,H7,J7,L7,N7,P7)</f>
      </c>
      <c r="S7" s="5">
        <f>SUM(C7,E7,G7,I7,K7,M7,O7,Q7)</f>
      </c>
      <c r="T7" s="4">
        <v>0</v>
      </c>
      <c r="U7" s="7">
        <v>0</v>
      </c>
      <c r="V7" s="4">
        <f>MAX(0,T7-U7)</f>
      </c>
      <c r="W7" s="4">
        <v>0</v>
      </c>
      <c r="X7" s="7">
        <v>0</v>
      </c>
      <c r="Y7" s="4">
        <f>MAX(0,0-X7)</f>
      </c>
      <c r="Z7" s="4">
        <f>U7+X7</f>
      </c>
      <c r="AA7" s="13">
        <f>MAX(0,S7-Z7)</f>
      </c>
    </row>
    <row r="8">
      <c r="A8" s="1" t="inlineStr">
        <is>
          <t xml:space="preserve">Erick Mpho Molefe</t>
        </is>
      </c>
      <c r="B8" s="16">
        <f>SUMIFS('Wage Detail Linked'!$O$5:$O$104,'Wage Detail Linked'!$B$5:$B$104,$A8,'Wage Detail Linked'!$C$5:$C$104,B$2,'Wage Detail Linked'!$E$5:$E$104,"")</f>
      </c>
      <c r="C8" s="4">
        <f>IF(SUMIFS('Wage Detail Linked'!$O$5:$O$104,'Wage Detail Linked'!$B$5:$B$104,$A8,'Wage Detail Linked'!$C$5:$C$104,B$2,'Wage Detail Linked'!$E$5:$E$104,"")=0,IF(B8&gt;0,ROUND(B8*90,2),0),ROUND(SUMIFS('Wage Detail Linked'!$R$5:$R$104,'Wage Detail Linked'!$B$5:$B$104,$A8,'Wage Detail Linked'!$C$5:$C$104,B$2,'Wage Detail Linked'!$E$5:$E$104,"")*B8/SUMIFS('Wage Detail Linked'!$O$5:$O$104,'Wage Detail Linked'!$B$5:$B$104,$A8,'Wage Detail Linked'!$C$5:$C$104,B$2,'Wage Detail Linked'!$E$5:$E$104,""),2))</f>
      </c>
      <c r="D8" s="16">
        <f>SUMIFS('Wage Detail Linked'!$O$5:$O$104,'Wage Detail Linked'!$B$5:$B$104,$A8,'Wage Detail Linked'!$C$5:$C$104,D$2,'Wage Detail Linked'!$E$5:$E$104,"")</f>
      </c>
      <c r="E8" s="4">
        <f>IF(SUMIFS('Wage Detail Linked'!$O$5:$O$104,'Wage Detail Linked'!$B$5:$B$104,$A8,'Wage Detail Linked'!$C$5:$C$104,D$2,'Wage Detail Linked'!$E$5:$E$104,"")=0,IF(D8&gt;0,ROUND(D8*90,2),0),ROUND(SUMIFS('Wage Detail Linked'!$R$5:$R$104,'Wage Detail Linked'!$B$5:$B$104,$A8,'Wage Detail Linked'!$C$5:$C$104,D$2,'Wage Detail Linked'!$E$5:$E$104,"")*D8/SUMIFS('Wage Detail Linked'!$O$5:$O$104,'Wage Detail Linked'!$B$5:$B$104,$A8,'Wage Detail Linked'!$C$5:$C$104,D$2,'Wage Detail Linked'!$E$5:$E$104,""),2))</f>
      </c>
      <c r="F8" s="16">
        <f>SUMIFS('Wage Detail Linked'!$O$5:$O$104,'Wage Detail Linked'!$B$5:$B$104,$A8,'Wage Detail Linked'!$C$5:$C$104,F$2,'Wage Detail Linked'!$E$5:$E$104,"")</f>
      </c>
      <c r="G8" s="4">
        <f>IF(SUMIFS('Wage Detail Linked'!$O$5:$O$104,'Wage Detail Linked'!$B$5:$B$104,$A8,'Wage Detail Linked'!$C$5:$C$104,F$2,'Wage Detail Linked'!$E$5:$E$104,"")=0,IF(F8&gt;0,ROUND(F8*90,2),0),ROUND(SUMIFS('Wage Detail Linked'!$R$5:$R$104,'Wage Detail Linked'!$B$5:$B$104,$A8,'Wage Detail Linked'!$C$5:$C$104,F$2,'Wage Detail Linked'!$E$5:$E$104,"")*F8/SUMIFS('Wage Detail Linked'!$O$5:$O$104,'Wage Detail Linked'!$B$5:$B$104,$A8,'Wage Detail Linked'!$C$5:$C$104,F$2,'Wage Detail Linked'!$E$5:$E$104,""),2))</f>
      </c>
      <c r="H8" s="16">
        <f>SUMIFS('Wage Detail Linked'!$O$5:$O$104,'Wage Detail Linked'!$B$5:$B$104,$A8,'Wage Detail Linked'!$C$5:$C$104,H$2,'Wage Detail Linked'!$E$5:$E$104,"")</f>
      </c>
      <c r="I8" s="4">
        <f>IF(SUMIFS('Wage Detail Linked'!$O$5:$O$104,'Wage Detail Linked'!$B$5:$B$104,$A8,'Wage Detail Linked'!$C$5:$C$104,H$2,'Wage Detail Linked'!$E$5:$E$104,"")=0,IF(H8&gt;0,ROUND(H8*90,2),0),ROUND(SUMIFS('Wage Detail Linked'!$R$5:$R$104,'Wage Detail Linked'!$B$5:$B$104,$A8,'Wage Detail Linked'!$C$5:$C$104,H$2,'Wage Detail Linked'!$E$5:$E$104,"")*H8/SUMIFS('Wage Detail Linked'!$O$5:$O$104,'Wage Detail Linked'!$B$5:$B$104,$A8,'Wage Detail Linked'!$C$5:$C$104,H$2,'Wage Detail Linked'!$E$5:$E$104,""),2))</f>
      </c>
      <c r="J8" s="16">
        <f>SUMIFS('Wage Detail Linked'!$O$5:$O$104,'Wage Detail Linked'!$B$5:$B$104,$A8,'Wage Detail Linked'!$C$5:$C$104,J$2,'Wage Detail Linked'!$E$5:$E$104,"")</f>
      </c>
      <c r="K8" s="4">
        <f>IF(SUMIFS('Wage Detail Linked'!$O$5:$O$104,'Wage Detail Linked'!$B$5:$B$104,$A8,'Wage Detail Linked'!$C$5:$C$104,J$2,'Wage Detail Linked'!$E$5:$E$104,"")=0,IF(J8&gt;0,ROUND(J8*90,2),0),ROUND(SUMIFS('Wage Detail Linked'!$R$5:$R$104,'Wage Detail Linked'!$B$5:$B$104,$A8,'Wage Detail Linked'!$C$5:$C$104,J$2,'Wage Detail Linked'!$E$5:$E$104,"")*J8/SUMIFS('Wage Detail Linked'!$O$5:$O$104,'Wage Detail Linked'!$B$5:$B$104,$A8,'Wage Detail Linked'!$C$5:$C$104,J$2,'Wage Detail Linked'!$E$5:$E$104,""),2))</f>
      </c>
      <c r="L8" s="16">
        <f>SUMIFS('Wage Detail Linked'!$O$5:$O$104,'Wage Detail Linked'!$B$5:$B$104,$A8,'Wage Detail Linked'!$C$5:$C$104,L$2,'Wage Detail Linked'!$E$5:$E$104,"")</f>
      </c>
      <c r="M8" s="4">
        <f>IF(SUMIFS('Wage Detail Linked'!$O$5:$O$104,'Wage Detail Linked'!$B$5:$B$104,$A8,'Wage Detail Linked'!$C$5:$C$104,L$2,'Wage Detail Linked'!$E$5:$E$104,"")=0,IF(L8&gt;0,ROUND(L8*90,2),0),ROUND(SUMIFS('Wage Detail Linked'!$R$5:$R$104,'Wage Detail Linked'!$B$5:$B$104,$A8,'Wage Detail Linked'!$C$5:$C$104,L$2,'Wage Detail Linked'!$E$5:$E$104,"")*L8/SUMIFS('Wage Detail Linked'!$O$5:$O$104,'Wage Detail Linked'!$B$5:$B$104,$A8,'Wage Detail Linked'!$C$5:$C$104,L$2,'Wage Detail Linked'!$E$5:$E$104,""),2))</f>
      </c>
      <c r="N8" s="16">
        <f>SUMIFS('Wage Detail Linked'!$O$5:$O$104,'Wage Detail Linked'!$B$5:$B$104,$A8,'Wage Detail Linked'!$C$5:$C$104,N$2,'Wage Detail Linked'!$E$5:$E$104,"")</f>
      </c>
      <c r="O8" s="4">
        <f>IF(SUMIFS('Wage Detail Linked'!$O$5:$O$104,'Wage Detail Linked'!$B$5:$B$104,$A8,'Wage Detail Linked'!$C$5:$C$104,N$2,'Wage Detail Linked'!$E$5:$E$104,"")=0,IF(N8&gt;0,ROUND(N8*90,2),0),ROUND(SUMIFS('Wage Detail Linked'!$R$5:$R$104,'Wage Detail Linked'!$B$5:$B$104,$A8,'Wage Detail Linked'!$C$5:$C$104,N$2,'Wage Detail Linked'!$E$5:$E$104,"")*N8/SUMIFS('Wage Detail Linked'!$O$5:$O$104,'Wage Detail Linked'!$B$5:$B$104,$A8,'Wage Detail Linked'!$C$5:$C$104,N$2,'Wage Detail Linked'!$E$5:$E$104,""),2))</f>
      </c>
      <c r="P8" s="16">
        <f>0</f>
      </c>
      <c r="Q8" s="13">
        <f>IF(P8&gt;0,ROUND(P8*90,2),0)</f>
      </c>
      <c r="R8" s="10">
        <f>SUM(B8,D8,F8,H8,J8,L8,N8,P8)</f>
      </c>
      <c r="S8" s="5">
        <f>SUM(C8,E8,G8,I8,K8,M8,O8,Q8)</f>
      </c>
      <c r="T8" s="4">
        <v>1000</v>
      </c>
      <c r="U8" s="7">
        <v>1000</v>
      </c>
      <c r="V8" s="4">
        <f>MAX(0,T8-U8)</f>
      </c>
      <c r="W8" s="4">
        <v>1000</v>
      </c>
      <c r="X8" s="7">
        <v>1000</v>
      </c>
      <c r="Y8" s="4">
        <f>MAX(0,1000-X8)</f>
      </c>
      <c r="Z8" s="4">
        <f>U8+X8</f>
      </c>
      <c r="AA8" s="13">
        <f>MAX(0,S8-Z8)</f>
      </c>
    </row>
    <row r="9">
      <c r="A9" s="1" t="inlineStr">
        <is>
          <t xml:space="preserve">Givemore Chifetete Kuziwa</t>
        </is>
      </c>
      <c r="B9" s="16">
        <f>SUMIFS('Wage Detail Linked'!$O$5:$O$104,'Wage Detail Linked'!$B$5:$B$104,$A9,'Wage Detail Linked'!$C$5:$C$104,B$2,'Wage Detail Linked'!$E$5:$E$104,"")</f>
      </c>
      <c r="C9" s="4">
        <f>IF(SUMIFS('Wage Detail Linked'!$O$5:$O$104,'Wage Detail Linked'!$B$5:$B$104,$A9,'Wage Detail Linked'!$C$5:$C$104,B$2,'Wage Detail Linked'!$E$5:$E$104,"")=0,IF(B9&gt;0,ROUND(B9*90,2),0),ROUND(SUMIFS('Wage Detail Linked'!$R$5:$R$104,'Wage Detail Linked'!$B$5:$B$104,$A9,'Wage Detail Linked'!$C$5:$C$104,B$2,'Wage Detail Linked'!$E$5:$E$104,"")*B9/SUMIFS('Wage Detail Linked'!$O$5:$O$104,'Wage Detail Linked'!$B$5:$B$104,$A9,'Wage Detail Linked'!$C$5:$C$104,B$2,'Wage Detail Linked'!$E$5:$E$104,""),2))</f>
      </c>
      <c r="D9" s="16">
        <f>SUMIFS('Wage Detail Linked'!$O$5:$O$104,'Wage Detail Linked'!$B$5:$B$104,$A9,'Wage Detail Linked'!$C$5:$C$104,D$2,'Wage Detail Linked'!$E$5:$E$104,"")</f>
      </c>
      <c r="E9" s="4">
        <f>IF(SUMIFS('Wage Detail Linked'!$O$5:$O$104,'Wage Detail Linked'!$B$5:$B$104,$A9,'Wage Detail Linked'!$C$5:$C$104,D$2,'Wage Detail Linked'!$E$5:$E$104,"")=0,IF(D9&gt;0,ROUND(D9*90,2),0),ROUND(SUMIFS('Wage Detail Linked'!$R$5:$R$104,'Wage Detail Linked'!$B$5:$B$104,$A9,'Wage Detail Linked'!$C$5:$C$104,D$2,'Wage Detail Linked'!$E$5:$E$104,"")*D9/SUMIFS('Wage Detail Linked'!$O$5:$O$104,'Wage Detail Linked'!$B$5:$B$104,$A9,'Wage Detail Linked'!$C$5:$C$104,D$2,'Wage Detail Linked'!$E$5:$E$104,""),2))</f>
      </c>
      <c r="F9" s="16">
        <f>SUMIFS('Wage Detail Linked'!$O$5:$O$104,'Wage Detail Linked'!$B$5:$B$104,$A9,'Wage Detail Linked'!$C$5:$C$104,F$2,'Wage Detail Linked'!$E$5:$E$104,"")</f>
      </c>
      <c r="G9" s="4">
        <f>IF(SUMIFS('Wage Detail Linked'!$O$5:$O$104,'Wage Detail Linked'!$B$5:$B$104,$A9,'Wage Detail Linked'!$C$5:$C$104,F$2,'Wage Detail Linked'!$E$5:$E$104,"")=0,IF(F9&gt;0,ROUND(F9*90,2),0),ROUND(SUMIFS('Wage Detail Linked'!$R$5:$R$104,'Wage Detail Linked'!$B$5:$B$104,$A9,'Wage Detail Linked'!$C$5:$C$104,F$2,'Wage Detail Linked'!$E$5:$E$104,"")*F9/SUMIFS('Wage Detail Linked'!$O$5:$O$104,'Wage Detail Linked'!$B$5:$B$104,$A9,'Wage Detail Linked'!$C$5:$C$104,F$2,'Wage Detail Linked'!$E$5:$E$104,""),2))</f>
      </c>
      <c r="H9" s="16">
        <f>SUMIFS('Wage Detail Linked'!$O$5:$O$104,'Wage Detail Linked'!$B$5:$B$104,$A9,'Wage Detail Linked'!$C$5:$C$104,H$2,'Wage Detail Linked'!$E$5:$E$104,"")</f>
      </c>
      <c r="I9" s="4">
        <f>IF(SUMIFS('Wage Detail Linked'!$O$5:$O$104,'Wage Detail Linked'!$B$5:$B$104,$A9,'Wage Detail Linked'!$C$5:$C$104,H$2,'Wage Detail Linked'!$E$5:$E$104,"")=0,IF(H9&gt;0,ROUND(H9*90,2),0),ROUND(SUMIFS('Wage Detail Linked'!$R$5:$R$104,'Wage Detail Linked'!$B$5:$B$104,$A9,'Wage Detail Linked'!$C$5:$C$104,H$2,'Wage Detail Linked'!$E$5:$E$104,"")*H9/SUMIFS('Wage Detail Linked'!$O$5:$O$104,'Wage Detail Linked'!$B$5:$B$104,$A9,'Wage Detail Linked'!$C$5:$C$104,H$2,'Wage Detail Linked'!$E$5:$E$104,""),2))</f>
      </c>
      <c r="J9" s="16">
        <f>SUMIFS('Wage Detail Linked'!$O$5:$O$104,'Wage Detail Linked'!$B$5:$B$104,$A9,'Wage Detail Linked'!$C$5:$C$104,J$2,'Wage Detail Linked'!$E$5:$E$104,"")</f>
      </c>
      <c r="K9" s="4">
        <f>IF(SUMIFS('Wage Detail Linked'!$O$5:$O$104,'Wage Detail Linked'!$B$5:$B$104,$A9,'Wage Detail Linked'!$C$5:$C$104,J$2,'Wage Detail Linked'!$E$5:$E$104,"")=0,IF(J9&gt;0,ROUND(J9*90,2),0),ROUND(SUMIFS('Wage Detail Linked'!$R$5:$R$104,'Wage Detail Linked'!$B$5:$B$104,$A9,'Wage Detail Linked'!$C$5:$C$104,J$2,'Wage Detail Linked'!$E$5:$E$104,"")*J9/SUMIFS('Wage Detail Linked'!$O$5:$O$104,'Wage Detail Linked'!$B$5:$B$104,$A9,'Wage Detail Linked'!$C$5:$C$104,J$2,'Wage Detail Linked'!$E$5:$E$104,""),2))</f>
      </c>
      <c r="L9" s="16">
        <f>SUMIFS('Wage Detail Linked'!$O$5:$O$104,'Wage Detail Linked'!$B$5:$B$104,$A9,'Wage Detail Linked'!$C$5:$C$104,L$2,'Wage Detail Linked'!$E$5:$E$104,"")</f>
      </c>
      <c r="M9" s="4">
        <f>IF(SUMIFS('Wage Detail Linked'!$O$5:$O$104,'Wage Detail Linked'!$B$5:$B$104,$A9,'Wage Detail Linked'!$C$5:$C$104,L$2,'Wage Detail Linked'!$E$5:$E$104,"")=0,IF(L9&gt;0,ROUND(L9*90,2),0),ROUND(SUMIFS('Wage Detail Linked'!$R$5:$R$104,'Wage Detail Linked'!$B$5:$B$104,$A9,'Wage Detail Linked'!$C$5:$C$104,L$2,'Wage Detail Linked'!$E$5:$E$104,"")*L9/SUMIFS('Wage Detail Linked'!$O$5:$O$104,'Wage Detail Linked'!$B$5:$B$104,$A9,'Wage Detail Linked'!$C$5:$C$104,L$2,'Wage Detail Linked'!$E$5:$E$104,""),2))</f>
      </c>
      <c r="N9" s="16">
        <f>SUMIFS('Wage Detail Linked'!$O$5:$O$104,'Wage Detail Linked'!$B$5:$B$104,$A9,'Wage Detail Linked'!$C$5:$C$104,N$2,'Wage Detail Linked'!$E$5:$E$104,"")</f>
      </c>
      <c r="O9" s="4">
        <f>IF(SUMIFS('Wage Detail Linked'!$O$5:$O$104,'Wage Detail Linked'!$B$5:$B$104,$A9,'Wage Detail Linked'!$C$5:$C$104,N$2,'Wage Detail Linked'!$E$5:$E$104,"")=0,IF(N9&gt;0,ROUND(N9*90,2),0),ROUND(SUMIFS('Wage Detail Linked'!$R$5:$R$104,'Wage Detail Linked'!$B$5:$B$104,$A9,'Wage Detail Linked'!$C$5:$C$104,N$2,'Wage Detail Linked'!$E$5:$E$104,"")*N9/SUMIFS('Wage Detail Linked'!$O$5:$O$104,'Wage Detail Linked'!$B$5:$B$104,$A9,'Wage Detail Linked'!$C$5:$C$104,N$2,'Wage Detail Linked'!$E$5:$E$104,""),2))</f>
      </c>
      <c r="P9" s="16">
        <f>0</f>
      </c>
      <c r="Q9" s="13">
        <f>IF(P9&gt;0,ROUND(P9*90,2),0)</f>
      </c>
      <c r="R9" s="10">
        <f>SUM(B9,D9,F9,H9,J9,L9,N9,P9)</f>
      </c>
      <c r="S9" s="5">
        <f>SUM(C9,E9,G9,I9,K9,M9,O9,Q9)</f>
      </c>
      <c r="T9" s="4">
        <v>0</v>
      </c>
      <c r="U9" s="7">
        <v>0</v>
      </c>
      <c r="V9" s="4">
        <f>MAX(0,T9-U9)</f>
      </c>
      <c r="W9" s="4">
        <v>0</v>
      </c>
      <c r="X9" s="7">
        <v>0</v>
      </c>
      <c r="Y9" s="4">
        <f>MAX(0,0-X9)</f>
      </c>
      <c r="Z9" s="4">
        <f>U9+X9</f>
      </c>
      <c r="AA9" s="13">
        <f>MAX(0,S9-Z9)</f>
      </c>
    </row>
    <row r="10">
      <c r="A10" s="1" t="inlineStr">
        <is>
          <t xml:space="preserve">Isaac Mbele</t>
        </is>
      </c>
      <c r="B10" s="16">
        <f>SUMIFS('Wage Detail Linked'!$O$5:$O$104,'Wage Detail Linked'!$B$5:$B$104,$A10,'Wage Detail Linked'!$C$5:$C$104,B$2,'Wage Detail Linked'!$E$5:$E$104,"")</f>
      </c>
      <c r="C10" s="4">
        <f>IF(SUMIFS('Wage Detail Linked'!$O$5:$O$104,'Wage Detail Linked'!$B$5:$B$104,$A10,'Wage Detail Linked'!$C$5:$C$104,B$2,'Wage Detail Linked'!$E$5:$E$104,"")=0,IF(B10&gt;0,ROUND(B10*90,2),0),ROUND(SUMIFS('Wage Detail Linked'!$R$5:$R$104,'Wage Detail Linked'!$B$5:$B$104,$A10,'Wage Detail Linked'!$C$5:$C$104,B$2,'Wage Detail Linked'!$E$5:$E$104,"")*B10/SUMIFS('Wage Detail Linked'!$O$5:$O$104,'Wage Detail Linked'!$B$5:$B$104,$A10,'Wage Detail Linked'!$C$5:$C$104,B$2,'Wage Detail Linked'!$E$5:$E$104,""),2))</f>
      </c>
      <c r="D10" s="16">
        <f>SUMIFS('Wage Detail Linked'!$O$5:$O$104,'Wage Detail Linked'!$B$5:$B$104,$A10,'Wage Detail Linked'!$C$5:$C$104,D$2,'Wage Detail Linked'!$E$5:$E$104,"")</f>
      </c>
      <c r="E10" s="4">
        <f>IF(SUMIFS('Wage Detail Linked'!$O$5:$O$104,'Wage Detail Linked'!$B$5:$B$104,$A10,'Wage Detail Linked'!$C$5:$C$104,D$2,'Wage Detail Linked'!$E$5:$E$104,"")=0,IF(D10&gt;0,ROUND(D10*90,2),0),ROUND(SUMIFS('Wage Detail Linked'!$R$5:$R$104,'Wage Detail Linked'!$B$5:$B$104,$A10,'Wage Detail Linked'!$C$5:$C$104,D$2,'Wage Detail Linked'!$E$5:$E$104,"")*D10/SUMIFS('Wage Detail Linked'!$O$5:$O$104,'Wage Detail Linked'!$B$5:$B$104,$A10,'Wage Detail Linked'!$C$5:$C$104,D$2,'Wage Detail Linked'!$E$5:$E$104,""),2))</f>
      </c>
      <c r="F10" s="16">
        <f>SUMIFS('Wage Detail Linked'!$O$5:$O$104,'Wage Detail Linked'!$B$5:$B$104,$A10,'Wage Detail Linked'!$C$5:$C$104,F$2,'Wage Detail Linked'!$E$5:$E$104,"")</f>
      </c>
      <c r="G10" s="4">
        <f>IF(SUMIFS('Wage Detail Linked'!$O$5:$O$104,'Wage Detail Linked'!$B$5:$B$104,$A10,'Wage Detail Linked'!$C$5:$C$104,F$2,'Wage Detail Linked'!$E$5:$E$104,"")=0,IF(F10&gt;0,ROUND(F10*90,2),0),ROUND(SUMIFS('Wage Detail Linked'!$R$5:$R$104,'Wage Detail Linked'!$B$5:$B$104,$A10,'Wage Detail Linked'!$C$5:$C$104,F$2,'Wage Detail Linked'!$E$5:$E$104,"")*F10/SUMIFS('Wage Detail Linked'!$O$5:$O$104,'Wage Detail Linked'!$B$5:$B$104,$A10,'Wage Detail Linked'!$C$5:$C$104,F$2,'Wage Detail Linked'!$E$5:$E$104,""),2))</f>
      </c>
      <c r="H10" s="16">
        <f>SUMIFS('Wage Detail Linked'!$O$5:$O$104,'Wage Detail Linked'!$B$5:$B$104,$A10,'Wage Detail Linked'!$C$5:$C$104,H$2,'Wage Detail Linked'!$E$5:$E$104,"")</f>
      </c>
      <c r="I10" s="4">
        <f>IF(SUMIFS('Wage Detail Linked'!$O$5:$O$104,'Wage Detail Linked'!$B$5:$B$104,$A10,'Wage Detail Linked'!$C$5:$C$104,H$2,'Wage Detail Linked'!$E$5:$E$104,"")=0,IF(H10&gt;0,ROUND(H10*90,2),0),ROUND(SUMIFS('Wage Detail Linked'!$R$5:$R$104,'Wage Detail Linked'!$B$5:$B$104,$A10,'Wage Detail Linked'!$C$5:$C$104,H$2,'Wage Detail Linked'!$E$5:$E$104,"")*H10/SUMIFS('Wage Detail Linked'!$O$5:$O$104,'Wage Detail Linked'!$B$5:$B$104,$A10,'Wage Detail Linked'!$C$5:$C$104,H$2,'Wage Detail Linked'!$E$5:$E$104,""),2))</f>
      </c>
      <c r="J10" s="16">
        <f>SUMIFS('Wage Detail Linked'!$O$5:$O$104,'Wage Detail Linked'!$B$5:$B$104,$A10,'Wage Detail Linked'!$C$5:$C$104,J$2,'Wage Detail Linked'!$E$5:$E$104,"")</f>
      </c>
      <c r="K10" s="4">
        <f>IF(SUMIFS('Wage Detail Linked'!$O$5:$O$104,'Wage Detail Linked'!$B$5:$B$104,$A10,'Wage Detail Linked'!$C$5:$C$104,J$2,'Wage Detail Linked'!$E$5:$E$104,"")=0,IF(J10&gt;0,ROUND(J10*90,2),0),ROUND(SUMIFS('Wage Detail Linked'!$R$5:$R$104,'Wage Detail Linked'!$B$5:$B$104,$A10,'Wage Detail Linked'!$C$5:$C$104,J$2,'Wage Detail Linked'!$E$5:$E$104,"")*J10/SUMIFS('Wage Detail Linked'!$O$5:$O$104,'Wage Detail Linked'!$B$5:$B$104,$A10,'Wage Detail Linked'!$C$5:$C$104,J$2,'Wage Detail Linked'!$E$5:$E$104,""),2))</f>
      </c>
      <c r="L10" s="16">
        <f>SUMIFS('Wage Detail Linked'!$O$5:$O$104,'Wage Detail Linked'!$B$5:$B$104,$A10,'Wage Detail Linked'!$C$5:$C$104,L$2,'Wage Detail Linked'!$E$5:$E$104,"")</f>
      </c>
      <c r="M10" s="4">
        <f>IF(SUMIFS('Wage Detail Linked'!$O$5:$O$104,'Wage Detail Linked'!$B$5:$B$104,$A10,'Wage Detail Linked'!$C$5:$C$104,L$2,'Wage Detail Linked'!$E$5:$E$104,"")=0,IF(L10&gt;0,ROUND(L10*90,2),0),ROUND(SUMIFS('Wage Detail Linked'!$R$5:$R$104,'Wage Detail Linked'!$B$5:$B$104,$A10,'Wage Detail Linked'!$C$5:$C$104,L$2,'Wage Detail Linked'!$E$5:$E$104,"")*L10/SUMIFS('Wage Detail Linked'!$O$5:$O$104,'Wage Detail Linked'!$B$5:$B$104,$A10,'Wage Detail Linked'!$C$5:$C$104,L$2,'Wage Detail Linked'!$E$5:$E$104,""),2))</f>
      </c>
      <c r="N10" s="16">
        <f>SUMIFS('Wage Detail Linked'!$O$5:$O$104,'Wage Detail Linked'!$B$5:$B$104,$A10,'Wage Detail Linked'!$C$5:$C$104,N$2,'Wage Detail Linked'!$E$5:$E$104,"")</f>
      </c>
      <c r="O10" s="4">
        <f>IF(SUMIFS('Wage Detail Linked'!$O$5:$O$104,'Wage Detail Linked'!$B$5:$B$104,$A10,'Wage Detail Linked'!$C$5:$C$104,N$2,'Wage Detail Linked'!$E$5:$E$104,"")=0,IF(N10&gt;0,ROUND(N10*90,2),0),ROUND(SUMIFS('Wage Detail Linked'!$R$5:$R$104,'Wage Detail Linked'!$B$5:$B$104,$A10,'Wage Detail Linked'!$C$5:$C$104,N$2,'Wage Detail Linked'!$E$5:$E$104,"")*N10/SUMIFS('Wage Detail Linked'!$O$5:$O$104,'Wage Detail Linked'!$B$5:$B$104,$A10,'Wage Detail Linked'!$C$5:$C$104,N$2,'Wage Detail Linked'!$E$5:$E$104,""),2))</f>
      </c>
      <c r="P10" s="16">
        <f>0</f>
      </c>
      <c r="Q10" s="13">
        <f>IF(P10&gt;0,ROUND(P10*90,2),0)</f>
      </c>
      <c r="R10" s="10">
        <f>SUM(B10,D10,F10,H10,J10,L10,N10,P10)</f>
      </c>
      <c r="S10" s="5">
        <f>SUM(C10,E10,G10,I10,K10,M10,O10,Q10)</f>
      </c>
      <c r="T10" s="4">
        <v>260</v>
      </c>
      <c r="U10" s="7">
        <v>260</v>
      </c>
      <c r="V10" s="4">
        <f>MAX(0,T10-U10)</f>
      </c>
      <c r="W10" s="4">
        <v>1250</v>
      </c>
      <c r="X10" s="7">
        <v>1250</v>
      </c>
      <c r="Y10" s="4">
        <f>MAX(0,1600-X10)</f>
      </c>
      <c r="Z10" s="4">
        <f>U10+X10</f>
      </c>
      <c r="AA10" s="13">
        <f>MAX(0,S10-Z10)</f>
      </c>
    </row>
    <row r="11">
      <c r="A11" s="1" t="inlineStr">
        <is>
          <t xml:space="preserve">John Simbarashe Mhlanga</t>
        </is>
      </c>
      <c r="B11" s="16">
        <f>SUMIFS('Wage Detail Linked'!$O$5:$O$104,'Wage Detail Linked'!$B$5:$B$104,$A11,'Wage Detail Linked'!$C$5:$C$104,B$2,'Wage Detail Linked'!$E$5:$E$104,"")</f>
      </c>
      <c r="C11" s="4">
        <f>IF(SUMIFS('Wage Detail Linked'!$O$5:$O$104,'Wage Detail Linked'!$B$5:$B$104,$A11,'Wage Detail Linked'!$C$5:$C$104,B$2,'Wage Detail Linked'!$E$5:$E$104,"")=0,IF(B11&gt;0,ROUND(B11*90,2),0),ROUND(SUMIFS('Wage Detail Linked'!$R$5:$R$104,'Wage Detail Linked'!$B$5:$B$104,$A11,'Wage Detail Linked'!$C$5:$C$104,B$2,'Wage Detail Linked'!$E$5:$E$104,"")*B11/SUMIFS('Wage Detail Linked'!$O$5:$O$104,'Wage Detail Linked'!$B$5:$B$104,$A11,'Wage Detail Linked'!$C$5:$C$104,B$2,'Wage Detail Linked'!$E$5:$E$104,""),2))</f>
      </c>
      <c r="D11" s="16">
        <f>SUMIFS('Wage Detail Linked'!$O$5:$O$104,'Wage Detail Linked'!$B$5:$B$104,$A11,'Wage Detail Linked'!$C$5:$C$104,D$2,'Wage Detail Linked'!$E$5:$E$104,"")</f>
      </c>
      <c r="E11" s="4">
        <f>IF(SUMIFS('Wage Detail Linked'!$O$5:$O$104,'Wage Detail Linked'!$B$5:$B$104,$A11,'Wage Detail Linked'!$C$5:$C$104,D$2,'Wage Detail Linked'!$E$5:$E$104,"")=0,IF(D11&gt;0,ROUND(D11*90,2),0),ROUND(SUMIFS('Wage Detail Linked'!$R$5:$R$104,'Wage Detail Linked'!$B$5:$B$104,$A11,'Wage Detail Linked'!$C$5:$C$104,D$2,'Wage Detail Linked'!$E$5:$E$104,"")*D11/SUMIFS('Wage Detail Linked'!$O$5:$O$104,'Wage Detail Linked'!$B$5:$B$104,$A11,'Wage Detail Linked'!$C$5:$C$104,D$2,'Wage Detail Linked'!$E$5:$E$104,""),2))</f>
      </c>
      <c r="F11" s="16">
        <f>SUMIFS('Wage Detail Linked'!$O$5:$O$104,'Wage Detail Linked'!$B$5:$B$104,$A11,'Wage Detail Linked'!$C$5:$C$104,F$2,'Wage Detail Linked'!$E$5:$E$104,"")</f>
      </c>
      <c r="G11" s="4">
        <f>IF(SUMIFS('Wage Detail Linked'!$O$5:$O$104,'Wage Detail Linked'!$B$5:$B$104,$A11,'Wage Detail Linked'!$C$5:$C$104,F$2,'Wage Detail Linked'!$E$5:$E$104,"")=0,IF(F11&gt;0,ROUND(F11*90,2),0),ROUND(SUMIFS('Wage Detail Linked'!$R$5:$R$104,'Wage Detail Linked'!$B$5:$B$104,$A11,'Wage Detail Linked'!$C$5:$C$104,F$2,'Wage Detail Linked'!$E$5:$E$104,"")*F11/SUMIFS('Wage Detail Linked'!$O$5:$O$104,'Wage Detail Linked'!$B$5:$B$104,$A11,'Wage Detail Linked'!$C$5:$C$104,F$2,'Wage Detail Linked'!$E$5:$E$104,""),2))</f>
      </c>
      <c r="H11" s="16">
        <f>SUMIFS('Wage Detail Linked'!$O$5:$O$104,'Wage Detail Linked'!$B$5:$B$104,$A11,'Wage Detail Linked'!$C$5:$C$104,H$2,'Wage Detail Linked'!$E$5:$E$104,"")</f>
      </c>
      <c r="I11" s="4">
        <f>IF(SUMIFS('Wage Detail Linked'!$O$5:$O$104,'Wage Detail Linked'!$B$5:$B$104,$A11,'Wage Detail Linked'!$C$5:$C$104,H$2,'Wage Detail Linked'!$E$5:$E$104,"")=0,IF(H11&gt;0,ROUND(H11*90,2),0),ROUND(SUMIFS('Wage Detail Linked'!$R$5:$R$104,'Wage Detail Linked'!$B$5:$B$104,$A11,'Wage Detail Linked'!$C$5:$C$104,H$2,'Wage Detail Linked'!$E$5:$E$104,"")*H11/SUMIFS('Wage Detail Linked'!$O$5:$O$104,'Wage Detail Linked'!$B$5:$B$104,$A11,'Wage Detail Linked'!$C$5:$C$104,H$2,'Wage Detail Linked'!$E$5:$E$104,""),2))</f>
      </c>
      <c r="J11" s="16">
        <f>SUMIFS('Wage Detail Linked'!$O$5:$O$104,'Wage Detail Linked'!$B$5:$B$104,$A11,'Wage Detail Linked'!$C$5:$C$104,J$2,'Wage Detail Linked'!$E$5:$E$104,"")</f>
      </c>
      <c r="K11" s="4">
        <f>IF(SUMIFS('Wage Detail Linked'!$O$5:$O$104,'Wage Detail Linked'!$B$5:$B$104,$A11,'Wage Detail Linked'!$C$5:$C$104,J$2,'Wage Detail Linked'!$E$5:$E$104,"")=0,IF(J11&gt;0,ROUND(J11*90,2),0),ROUND(SUMIFS('Wage Detail Linked'!$R$5:$R$104,'Wage Detail Linked'!$B$5:$B$104,$A11,'Wage Detail Linked'!$C$5:$C$104,J$2,'Wage Detail Linked'!$E$5:$E$104,"")*J11/SUMIFS('Wage Detail Linked'!$O$5:$O$104,'Wage Detail Linked'!$B$5:$B$104,$A11,'Wage Detail Linked'!$C$5:$C$104,J$2,'Wage Detail Linked'!$E$5:$E$104,""),2))</f>
      </c>
      <c r="L11" s="16">
        <f>SUMIFS('Wage Detail Linked'!$O$5:$O$104,'Wage Detail Linked'!$B$5:$B$104,$A11,'Wage Detail Linked'!$C$5:$C$104,L$2,'Wage Detail Linked'!$E$5:$E$104,"")</f>
      </c>
      <c r="M11" s="4">
        <f>IF(SUMIFS('Wage Detail Linked'!$O$5:$O$104,'Wage Detail Linked'!$B$5:$B$104,$A11,'Wage Detail Linked'!$C$5:$C$104,L$2,'Wage Detail Linked'!$E$5:$E$104,"")=0,IF(L11&gt;0,ROUND(L11*90,2),0),ROUND(SUMIFS('Wage Detail Linked'!$R$5:$R$104,'Wage Detail Linked'!$B$5:$B$104,$A11,'Wage Detail Linked'!$C$5:$C$104,L$2,'Wage Detail Linked'!$E$5:$E$104,"")*L11/SUMIFS('Wage Detail Linked'!$O$5:$O$104,'Wage Detail Linked'!$B$5:$B$104,$A11,'Wage Detail Linked'!$C$5:$C$104,L$2,'Wage Detail Linked'!$E$5:$E$104,""),2))</f>
      </c>
      <c r="N11" s="16">
        <f>SUMIFS('Wage Detail Linked'!$O$5:$O$104,'Wage Detail Linked'!$B$5:$B$104,$A11,'Wage Detail Linked'!$C$5:$C$104,N$2,'Wage Detail Linked'!$E$5:$E$104,"")</f>
      </c>
      <c r="O11" s="4">
        <f>IF(SUMIFS('Wage Detail Linked'!$O$5:$O$104,'Wage Detail Linked'!$B$5:$B$104,$A11,'Wage Detail Linked'!$C$5:$C$104,N$2,'Wage Detail Linked'!$E$5:$E$104,"")=0,IF(N11&gt;0,ROUND(N11*90,2),0),ROUND(SUMIFS('Wage Detail Linked'!$R$5:$R$104,'Wage Detail Linked'!$B$5:$B$104,$A11,'Wage Detail Linked'!$C$5:$C$104,N$2,'Wage Detail Linked'!$E$5:$E$104,"")*N11/SUMIFS('Wage Detail Linked'!$O$5:$O$104,'Wage Detail Linked'!$B$5:$B$104,$A11,'Wage Detail Linked'!$C$5:$C$104,N$2,'Wage Detail Linked'!$E$5:$E$104,""),2))</f>
      </c>
      <c r="P11" s="16">
        <f>0</f>
      </c>
      <c r="Q11" s="13">
        <f>IF(P11&gt;0,ROUND(P11*90,2),0)</f>
      </c>
      <c r="R11" s="10">
        <f>SUM(B11,D11,F11,H11,J11,L11,N11,P11)</f>
      </c>
      <c r="S11" s="5">
        <f>SUM(C11,E11,G11,I11,K11,M11,O11,Q11)</f>
      </c>
      <c r="T11" s="4">
        <v>0</v>
      </c>
      <c r="U11" s="7">
        <v>0</v>
      </c>
      <c r="V11" s="4">
        <f>MAX(0,T11-U11)</f>
      </c>
      <c r="W11" s="4">
        <v>0</v>
      </c>
      <c r="X11" s="7">
        <v>0</v>
      </c>
      <c r="Y11" s="4">
        <f>MAX(0,0-X11)</f>
      </c>
      <c r="Z11" s="4">
        <f>U11+X11</f>
      </c>
      <c r="AA11" s="13">
        <f>MAX(0,S11-Z11)</f>
      </c>
    </row>
    <row r="12">
      <c r="A12" s="1" t="inlineStr">
        <is>
          <t xml:space="preserve">Joshua Motsamai Nteo</t>
        </is>
      </c>
      <c r="B12" s="16">
        <f>SUMIFS('Wage Detail Linked'!$O$5:$O$104,'Wage Detail Linked'!$B$5:$B$104,$A12,'Wage Detail Linked'!$C$5:$C$104,B$2,'Wage Detail Linked'!$E$5:$E$104,"")</f>
      </c>
      <c r="C12" s="4">
        <f>IF(SUMIFS('Wage Detail Linked'!$O$5:$O$104,'Wage Detail Linked'!$B$5:$B$104,$A12,'Wage Detail Linked'!$C$5:$C$104,B$2,'Wage Detail Linked'!$E$5:$E$104,"")=0,IF(B12&gt;0,ROUND(B12*90,2),0),ROUND(SUMIFS('Wage Detail Linked'!$R$5:$R$104,'Wage Detail Linked'!$B$5:$B$104,$A12,'Wage Detail Linked'!$C$5:$C$104,B$2,'Wage Detail Linked'!$E$5:$E$104,"")*B12/SUMIFS('Wage Detail Linked'!$O$5:$O$104,'Wage Detail Linked'!$B$5:$B$104,$A12,'Wage Detail Linked'!$C$5:$C$104,B$2,'Wage Detail Linked'!$E$5:$E$104,""),2))</f>
      </c>
      <c r="D12" s="16">
        <f>SUMIFS('Wage Detail Linked'!$O$5:$O$104,'Wage Detail Linked'!$B$5:$B$104,$A12,'Wage Detail Linked'!$C$5:$C$104,D$2,'Wage Detail Linked'!$E$5:$E$104,"")</f>
      </c>
      <c r="E12" s="4">
        <f>IF(SUMIFS('Wage Detail Linked'!$O$5:$O$104,'Wage Detail Linked'!$B$5:$B$104,$A12,'Wage Detail Linked'!$C$5:$C$104,D$2,'Wage Detail Linked'!$E$5:$E$104,"")=0,IF(D12&gt;0,ROUND(D12*90,2),0),ROUND(SUMIFS('Wage Detail Linked'!$R$5:$R$104,'Wage Detail Linked'!$B$5:$B$104,$A12,'Wage Detail Linked'!$C$5:$C$104,D$2,'Wage Detail Linked'!$E$5:$E$104,"")*D12/SUMIFS('Wage Detail Linked'!$O$5:$O$104,'Wage Detail Linked'!$B$5:$B$104,$A12,'Wage Detail Linked'!$C$5:$C$104,D$2,'Wage Detail Linked'!$E$5:$E$104,""),2))</f>
      </c>
      <c r="F12" s="16">
        <f>SUMIFS('Wage Detail Linked'!$O$5:$O$104,'Wage Detail Linked'!$B$5:$B$104,$A12,'Wage Detail Linked'!$C$5:$C$104,F$2,'Wage Detail Linked'!$E$5:$E$104,"")</f>
      </c>
      <c r="G12" s="4">
        <f>IF(SUMIFS('Wage Detail Linked'!$O$5:$O$104,'Wage Detail Linked'!$B$5:$B$104,$A12,'Wage Detail Linked'!$C$5:$C$104,F$2,'Wage Detail Linked'!$E$5:$E$104,"")=0,IF(F12&gt;0,ROUND(F12*90,2),0),ROUND(SUMIFS('Wage Detail Linked'!$R$5:$R$104,'Wage Detail Linked'!$B$5:$B$104,$A12,'Wage Detail Linked'!$C$5:$C$104,F$2,'Wage Detail Linked'!$E$5:$E$104,"")*F12/SUMIFS('Wage Detail Linked'!$O$5:$O$104,'Wage Detail Linked'!$B$5:$B$104,$A12,'Wage Detail Linked'!$C$5:$C$104,F$2,'Wage Detail Linked'!$E$5:$E$104,""),2))</f>
      </c>
      <c r="H12" s="16">
        <f>SUMIFS('Wage Detail Linked'!$O$5:$O$104,'Wage Detail Linked'!$B$5:$B$104,$A12,'Wage Detail Linked'!$C$5:$C$104,H$2,'Wage Detail Linked'!$E$5:$E$104,"")</f>
      </c>
      <c r="I12" s="4">
        <f>IF(SUMIFS('Wage Detail Linked'!$O$5:$O$104,'Wage Detail Linked'!$B$5:$B$104,$A12,'Wage Detail Linked'!$C$5:$C$104,H$2,'Wage Detail Linked'!$E$5:$E$104,"")=0,IF(H12&gt;0,ROUND(H12*90,2),0),ROUND(SUMIFS('Wage Detail Linked'!$R$5:$R$104,'Wage Detail Linked'!$B$5:$B$104,$A12,'Wage Detail Linked'!$C$5:$C$104,H$2,'Wage Detail Linked'!$E$5:$E$104,"")*H12/SUMIFS('Wage Detail Linked'!$O$5:$O$104,'Wage Detail Linked'!$B$5:$B$104,$A12,'Wage Detail Linked'!$C$5:$C$104,H$2,'Wage Detail Linked'!$E$5:$E$104,""),2))</f>
      </c>
      <c r="J12" s="16">
        <f>SUMIFS('Wage Detail Linked'!$O$5:$O$104,'Wage Detail Linked'!$B$5:$B$104,$A12,'Wage Detail Linked'!$C$5:$C$104,J$2,'Wage Detail Linked'!$E$5:$E$104,"")</f>
      </c>
      <c r="K12" s="4">
        <f>IF(SUMIFS('Wage Detail Linked'!$O$5:$O$104,'Wage Detail Linked'!$B$5:$B$104,$A12,'Wage Detail Linked'!$C$5:$C$104,J$2,'Wage Detail Linked'!$E$5:$E$104,"")=0,IF(J12&gt;0,ROUND(J12*90,2),0),ROUND(SUMIFS('Wage Detail Linked'!$R$5:$R$104,'Wage Detail Linked'!$B$5:$B$104,$A12,'Wage Detail Linked'!$C$5:$C$104,J$2,'Wage Detail Linked'!$E$5:$E$104,"")*J12/SUMIFS('Wage Detail Linked'!$O$5:$O$104,'Wage Detail Linked'!$B$5:$B$104,$A12,'Wage Detail Linked'!$C$5:$C$104,J$2,'Wage Detail Linked'!$E$5:$E$104,""),2))</f>
      </c>
      <c r="L12" s="16">
        <f>SUMIFS('Wage Detail Linked'!$O$5:$O$104,'Wage Detail Linked'!$B$5:$B$104,$A12,'Wage Detail Linked'!$C$5:$C$104,L$2,'Wage Detail Linked'!$E$5:$E$104,"")</f>
      </c>
      <c r="M12" s="4">
        <f>IF(SUMIFS('Wage Detail Linked'!$O$5:$O$104,'Wage Detail Linked'!$B$5:$B$104,$A12,'Wage Detail Linked'!$C$5:$C$104,L$2,'Wage Detail Linked'!$E$5:$E$104,"")=0,IF(L12&gt;0,ROUND(L12*90,2),0),ROUND(SUMIFS('Wage Detail Linked'!$R$5:$R$104,'Wage Detail Linked'!$B$5:$B$104,$A12,'Wage Detail Linked'!$C$5:$C$104,L$2,'Wage Detail Linked'!$E$5:$E$104,"")*L12/SUMIFS('Wage Detail Linked'!$O$5:$O$104,'Wage Detail Linked'!$B$5:$B$104,$A12,'Wage Detail Linked'!$C$5:$C$104,L$2,'Wage Detail Linked'!$E$5:$E$104,""),2))</f>
      </c>
      <c r="N12" s="16">
        <f>SUMIFS('Wage Detail Linked'!$O$5:$O$104,'Wage Detail Linked'!$B$5:$B$104,$A12,'Wage Detail Linked'!$C$5:$C$104,N$2,'Wage Detail Linked'!$E$5:$E$104,"")</f>
      </c>
      <c r="O12" s="4">
        <f>IF(SUMIFS('Wage Detail Linked'!$O$5:$O$104,'Wage Detail Linked'!$B$5:$B$104,$A12,'Wage Detail Linked'!$C$5:$C$104,N$2,'Wage Detail Linked'!$E$5:$E$104,"")=0,IF(N12&gt;0,ROUND(N12*90,2),0),ROUND(SUMIFS('Wage Detail Linked'!$R$5:$R$104,'Wage Detail Linked'!$B$5:$B$104,$A12,'Wage Detail Linked'!$C$5:$C$104,N$2,'Wage Detail Linked'!$E$5:$E$104,"")*N12/SUMIFS('Wage Detail Linked'!$O$5:$O$104,'Wage Detail Linked'!$B$5:$B$104,$A12,'Wage Detail Linked'!$C$5:$C$104,N$2,'Wage Detail Linked'!$E$5:$E$104,""),2))</f>
      </c>
      <c r="P12" s="16">
        <f>0</f>
      </c>
      <c r="Q12" s="13">
        <f>IF(P12&gt;0,ROUND(P12*90,2),0)</f>
      </c>
      <c r="R12" s="10">
        <f>SUM(B12,D12,F12,H12,J12,L12,N12,P12)</f>
      </c>
      <c r="S12" s="5">
        <f>SUM(C12,E12,G12,I12,K12,M12,O12,Q12)</f>
      </c>
      <c r="T12" s="4">
        <v>1000</v>
      </c>
      <c r="U12" s="7">
        <v>1000</v>
      </c>
      <c r="V12" s="4">
        <f>MAX(0,T12-U12)</f>
      </c>
      <c r="W12" s="4">
        <v>0</v>
      </c>
      <c r="X12" s="7">
        <v>0</v>
      </c>
      <c r="Y12" s="4">
        <f>MAX(0,0-X12)</f>
      </c>
      <c r="Z12" s="4">
        <f>U12+X12</f>
      </c>
      <c r="AA12" s="13">
        <f>MAX(0,S12-Z12)</f>
      </c>
    </row>
    <row r="13">
      <c r="A13" s="1" t="inlineStr">
        <is>
          <t xml:space="preserve">Lebo Lebo</t>
        </is>
      </c>
      <c r="B13" s="16">
        <f>SUMIFS('Wage Detail Linked'!$O$5:$O$104,'Wage Detail Linked'!$B$5:$B$104,$A13,'Wage Detail Linked'!$C$5:$C$104,B$2,'Wage Detail Linked'!$E$5:$E$104,"")</f>
      </c>
      <c r="C13" s="4">
        <f>IF(SUMIFS('Wage Detail Linked'!$O$5:$O$104,'Wage Detail Linked'!$B$5:$B$104,$A13,'Wage Detail Linked'!$C$5:$C$104,B$2,'Wage Detail Linked'!$E$5:$E$104,"")=0,IF(B13&gt;0,ROUND(B13*90,2),0),ROUND(SUMIFS('Wage Detail Linked'!$R$5:$R$104,'Wage Detail Linked'!$B$5:$B$104,$A13,'Wage Detail Linked'!$C$5:$C$104,B$2,'Wage Detail Linked'!$E$5:$E$104,"")*B13/SUMIFS('Wage Detail Linked'!$O$5:$O$104,'Wage Detail Linked'!$B$5:$B$104,$A13,'Wage Detail Linked'!$C$5:$C$104,B$2,'Wage Detail Linked'!$E$5:$E$104,""),2))</f>
      </c>
      <c r="D13" s="16">
        <f>SUMIFS('Wage Detail Linked'!$O$5:$O$104,'Wage Detail Linked'!$B$5:$B$104,$A13,'Wage Detail Linked'!$C$5:$C$104,D$2,'Wage Detail Linked'!$E$5:$E$104,"")</f>
      </c>
      <c r="E13" s="4">
        <f>IF(SUMIFS('Wage Detail Linked'!$O$5:$O$104,'Wage Detail Linked'!$B$5:$B$104,$A13,'Wage Detail Linked'!$C$5:$C$104,D$2,'Wage Detail Linked'!$E$5:$E$104,"")=0,IF(D13&gt;0,ROUND(D13*90,2),0),ROUND(SUMIFS('Wage Detail Linked'!$R$5:$R$104,'Wage Detail Linked'!$B$5:$B$104,$A13,'Wage Detail Linked'!$C$5:$C$104,D$2,'Wage Detail Linked'!$E$5:$E$104,"")*D13/SUMIFS('Wage Detail Linked'!$O$5:$O$104,'Wage Detail Linked'!$B$5:$B$104,$A13,'Wage Detail Linked'!$C$5:$C$104,D$2,'Wage Detail Linked'!$E$5:$E$104,""),2))</f>
      </c>
      <c r="F13" s="16">
        <f>SUMIFS('Wage Detail Linked'!$O$5:$O$104,'Wage Detail Linked'!$B$5:$B$104,$A13,'Wage Detail Linked'!$C$5:$C$104,F$2,'Wage Detail Linked'!$E$5:$E$104,"")</f>
      </c>
      <c r="G13" s="4">
        <f>IF(SUMIFS('Wage Detail Linked'!$O$5:$O$104,'Wage Detail Linked'!$B$5:$B$104,$A13,'Wage Detail Linked'!$C$5:$C$104,F$2,'Wage Detail Linked'!$E$5:$E$104,"")=0,IF(F13&gt;0,ROUND(F13*90,2),0),ROUND(SUMIFS('Wage Detail Linked'!$R$5:$R$104,'Wage Detail Linked'!$B$5:$B$104,$A13,'Wage Detail Linked'!$C$5:$C$104,F$2,'Wage Detail Linked'!$E$5:$E$104,"")*F13/SUMIFS('Wage Detail Linked'!$O$5:$O$104,'Wage Detail Linked'!$B$5:$B$104,$A13,'Wage Detail Linked'!$C$5:$C$104,F$2,'Wage Detail Linked'!$E$5:$E$104,""),2))</f>
      </c>
      <c r="H13" s="16">
        <f>SUMIFS('Wage Detail Linked'!$O$5:$O$104,'Wage Detail Linked'!$B$5:$B$104,$A13,'Wage Detail Linked'!$C$5:$C$104,H$2,'Wage Detail Linked'!$E$5:$E$104,"")</f>
      </c>
      <c r="I13" s="4">
        <f>IF(SUMIFS('Wage Detail Linked'!$O$5:$O$104,'Wage Detail Linked'!$B$5:$B$104,$A13,'Wage Detail Linked'!$C$5:$C$104,H$2,'Wage Detail Linked'!$E$5:$E$104,"")=0,IF(H13&gt;0,ROUND(H13*90,2),0),ROUND(SUMIFS('Wage Detail Linked'!$R$5:$R$104,'Wage Detail Linked'!$B$5:$B$104,$A13,'Wage Detail Linked'!$C$5:$C$104,H$2,'Wage Detail Linked'!$E$5:$E$104,"")*H13/SUMIFS('Wage Detail Linked'!$O$5:$O$104,'Wage Detail Linked'!$B$5:$B$104,$A13,'Wage Detail Linked'!$C$5:$C$104,H$2,'Wage Detail Linked'!$E$5:$E$104,""),2))</f>
      </c>
      <c r="J13" s="16">
        <f>SUMIFS('Wage Detail Linked'!$O$5:$O$104,'Wage Detail Linked'!$B$5:$B$104,$A13,'Wage Detail Linked'!$C$5:$C$104,J$2,'Wage Detail Linked'!$E$5:$E$104,"")</f>
      </c>
      <c r="K13" s="4">
        <f>IF(SUMIFS('Wage Detail Linked'!$O$5:$O$104,'Wage Detail Linked'!$B$5:$B$104,$A13,'Wage Detail Linked'!$C$5:$C$104,J$2,'Wage Detail Linked'!$E$5:$E$104,"")=0,IF(J13&gt;0,ROUND(J13*90,2),0),ROUND(SUMIFS('Wage Detail Linked'!$R$5:$R$104,'Wage Detail Linked'!$B$5:$B$104,$A13,'Wage Detail Linked'!$C$5:$C$104,J$2,'Wage Detail Linked'!$E$5:$E$104,"")*J13/SUMIFS('Wage Detail Linked'!$O$5:$O$104,'Wage Detail Linked'!$B$5:$B$104,$A13,'Wage Detail Linked'!$C$5:$C$104,J$2,'Wage Detail Linked'!$E$5:$E$104,""),2))</f>
      </c>
      <c r="L13" s="16">
        <f>SUMIFS('Wage Detail Linked'!$O$5:$O$104,'Wage Detail Linked'!$B$5:$B$104,$A13,'Wage Detail Linked'!$C$5:$C$104,L$2,'Wage Detail Linked'!$E$5:$E$104,"")</f>
      </c>
      <c r="M13" s="4">
        <f>IF(SUMIFS('Wage Detail Linked'!$O$5:$O$104,'Wage Detail Linked'!$B$5:$B$104,$A13,'Wage Detail Linked'!$C$5:$C$104,L$2,'Wage Detail Linked'!$E$5:$E$104,"")=0,IF(L13&gt;0,ROUND(L13*90,2),0),ROUND(SUMIFS('Wage Detail Linked'!$R$5:$R$104,'Wage Detail Linked'!$B$5:$B$104,$A13,'Wage Detail Linked'!$C$5:$C$104,L$2,'Wage Detail Linked'!$E$5:$E$104,"")*L13/SUMIFS('Wage Detail Linked'!$O$5:$O$104,'Wage Detail Linked'!$B$5:$B$104,$A13,'Wage Detail Linked'!$C$5:$C$104,L$2,'Wage Detail Linked'!$E$5:$E$104,""),2))</f>
      </c>
      <c r="N13" s="16">
        <f>SUMIFS('Wage Detail Linked'!$O$5:$O$104,'Wage Detail Linked'!$B$5:$B$104,$A13,'Wage Detail Linked'!$C$5:$C$104,N$2,'Wage Detail Linked'!$E$5:$E$104,"")</f>
      </c>
      <c r="O13" s="4">
        <f>IF(SUMIFS('Wage Detail Linked'!$O$5:$O$104,'Wage Detail Linked'!$B$5:$B$104,$A13,'Wage Detail Linked'!$C$5:$C$104,N$2,'Wage Detail Linked'!$E$5:$E$104,"")=0,IF(N13&gt;0,ROUND(N13*90,2),0),ROUND(SUMIFS('Wage Detail Linked'!$R$5:$R$104,'Wage Detail Linked'!$B$5:$B$104,$A13,'Wage Detail Linked'!$C$5:$C$104,N$2,'Wage Detail Linked'!$E$5:$E$104,"")*N13/SUMIFS('Wage Detail Linked'!$O$5:$O$104,'Wage Detail Linked'!$B$5:$B$104,$A13,'Wage Detail Linked'!$C$5:$C$104,N$2,'Wage Detail Linked'!$E$5:$E$104,""),2))</f>
      </c>
      <c r="P13" s="16">
        <f>0</f>
      </c>
      <c r="Q13" s="13">
        <f>IF(P13&gt;0,ROUND(P13*90,2),0)</f>
      </c>
      <c r="R13" s="10">
        <f>SUM(B13,D13,F13,H13,J13,L13,N13,P13)</f>
      </c>
      <c r="S13" s="5">
        <f>SUM(C13,E13,G13,I13,K13,M13,O13,Q13)</f>
      </c>
      <c r="T13" s="4">
        <v>0</v>
      </c>
      <c r="U13" s="7">
        <v>0</v>
      </c>
      <c r="V13" s="4">
        <f>MAX(0,T13-U13)</f>
      </c>
      <c r="W13" s="4">
        <v>0</v>
      </c>
      <c r="X13" s="7">
        <v>0</v>
      </c>
      <c r="Y13" s="4">
        <f>MAX(0,0-X13)</f>
      </c>
      <c r="Z13" s="4">
        <f>U13+X13</f>
      </c>
      <c r="AA13" s="13">
        <f>MAX(0,S13-Z13)</f>
      </c>
    </row>
    <row r="14">
      <c r="A14" s="1" t="inlineStr">
        <is>
          <t xml:space="preserve">Patrick Ngozo</t>
        </is>
      </c>
      <c r="B14" s="16">
        <f>SUMIFS('Wage Detail Linked'!$O$5:$O$104,'Wage Detail Linked'!$B$5:$B$104,$A14,'Wage Detail Linked'!$C$5:$C$104,B$2,'Wage Detail Linked'!$E$5:$E$104,"")</f>
      </c>
      <c r="C14" s="4">
        <f>IF(SUMIFS('Wage Detail Linked'!$O$5:$O$104,'Wage Detail Linked'!$B$5:$B$104,$A14,'Wage Detail Linked'!$C$5:$C$104,B$2,'Wage Detail Linked'!$E$5:$E$104,"")=0,IF(B14&gt;0,ROUND(B14*90,2),0),ROUND(SUMIFS('Wage Detail Linked'!$R$5:$R$104,'Wage Detail Linked'!$B$5:$B$104,$A14,'Wage Detail Linked'!$C$5:$C$104,B$2,'Wage Detail Linked'!$E$5:$E$104,"")*B14/SUMIFS('Wage Detail Linked'!$O$5:$O$104,'Wage Detail Linked'!$B$5:$B$104,$A14,'Wage Detail Linked'!$C$5:$C$104,B$2,'Wage Detail Linked'!$E$5:$E$104,""),2))</f>
      </c>
      <c r="D14" s="16">
        <f>SUMIFS('Wage Detail Linked'!$O$5:$O$104,'Wage Detail Linked'!$B$5:$B$104,$A14,'Wage Detail Linked'!$C$5:$C$104,D$2,'Wage Detail Linked'!$E$5:$E$104,"")</f>
      </c>
      <c r="E14" s="4">
        <f>IF(SUMIFS('Wage Detail Linked'!$O$5:$O$104,'Wage Detail Linked'!$B$5:$B$104,$A14,'Wage Detail Linked'!$C$5:$C$104,D$2,'Wage Detail Linked'!$E$5:$E$104,"")=0,IF(D14&gt;0,ROUND(D14*90,2),0),ROUND(SUMIFS('Wage Detail Linked'!$R$5:$R$104,'Wage Detail Linked'!$B$5:$B$104,$A14,'Wage Detail Linked'!$C$5:$C$104,D$2,'Wage Detail Linked'!$E$5:$E$104,"")*D14/SUMIFS('Wage Detail Linked'!$O$5:$O$104,'Wage Detail Linked'!$B$5:$B$104,$A14,'Wage Detail Linked'!$C$5:$C$104,D$2,'Wage Detail Linked'!$E$5:$E$104,""),2))</f>
      </c>
      <c r="F14" s="16">
        <f>SUMIFS('Wage Detail Linked'!$O$5:$O$104,'Wage Detail Linked'!$B$5:$B$104,$A14,'Wage Detail Linked'!$C$5:$C$104,F$2,'Wage Detail Linked'!$E$5:$E$104,"")</f>
      </c>
      <c r="G14" s="4">
        <f>IF(SUMIFS('Wage Detail Linked'!$O$5:$O$104,'Wage Detail Linked'!$B$5:$B$104,$A14,'Wage Detail Linked'!$C$5:$C$104,F$2,'Wage Detail Linked'!$E$5:$E$104,"")=0,IF(F14&gt;0,ROUND(F14*90,2),0),ROUND(SUMIFS('Wage Detail Linked'!$R$5:$R$104,'Wage Detail Linked'!$B$5:$B$104,$A14,'Wage Detail Linked'!$C$5:$C$104,F$2,'Wage Detail Linked'!$E$5:$E$104,"")*F14/SUMIFS('Wage Detail Linked'!$O$5:$O$104,'Wage Detail Linked'!$B$5:$B$104,$A14,'Wage Detail Linked'!$C$5:$C$104,F$2,'Wage Detail Linked'!$E$5:$E$104,""),2))</f>
      </c>
      <c r="H14" s="16">
        <f>SUMIFS('Wage Detail Linked'!$O$5:$O$104,'Wage Detail Linked'!$B$5:$B$104,$A14,'Wage Detail Linked'!$C$5:$C$104,H$2,'Wage Detail Linked'!$E$5:$E$104,"")</f>
      </c>
      <c r="I14" s="4">
        <f>IF(SUMIFS('Wage Detail Linked'!$O$5:$O$104,'Wage Detail Linked'!$B$5:$B$104,$A14,'Wage Detail Linked'!$C$5:$C$104,H$2,'Wage Detail Linked'!$E$5:$E$104,"")=0,IF(H14&gt;0,ROUND(H14*90,2),0),ROUND(SUMIFS('Wage Detail Linked'!$R$5:$R$104,'Wage Detail Linked'!$B$5:$B$104,$A14,'Wage Detail Linked'!$C$5:$C$104,H$2,'Wage Detail Linked'!$E$5:$E$104,"")*H14/SUMIFS('Wage Detail Linked'!$O$5:$O$104,'Wage Detail Linked'!$B$5:$B$104,$A14,'Wage Detail Linked'!$C$5:$C$104,H$2,'Wage Detail Linked'!$E$5:$E$104,""),2))</f>
      </c>
      <c r="J14" s="16">
        <f>SUMIFS('Wage Detail Linked'!$O$5:$O$104,'Wage Detail Linked'!$B$5:$B$104,$A14,'Wage Detail Linked'!$C$5:$C$104,J$2,'Wage Detail Linked'!$E$5:$E$104,"")</f>
      </c>
      <c r="K14" s="4">
        <f>IF(SUMIFS('Wage Detail Linked'!$O$5:$O$104,'Wage Detail Linked'!$B$5:$B$104,$A14,'Wage Detail Linked'!$C$5:$C$104,J$2,'Wage Detail Linked'!$E$5:$E$104,"")=0,IF(J14&gt;0,ROUND(J14*90,2),0),ROUND(SUMIFS('Wage Detail Linked'!$R$5:$R$104,'Wage Detail Linked'!$B$5:$B$104,$A14,'Wage Detail Linked'!$C$5:$C$104,J$2,'Wage Detail Linked'!$E$5:$E$104,"")*J14/SUMIFS('Wage Detail Linked'!$O$5:$O$104,'Wage Detail Linked'!$B$5:$B$104,$A14,'Wage Detail Linked'!$C$5:$C$104,J$2,'Wage Detail Linked'!$E$5:$E$104,""),2))</f>
      </c>
      <c r="L14" s="16">
        <f>SUMIFS('Wage Detail Linked'!$O$5:$O$104,'Wage Detail Linked'!$B$5:$B$104,$A14,'Wage Detail Linked'!$C$5:$C$104,L$2,'Wage Detail Linked'!$E$5:$E$104,"")</f>
      </c>
      <c r="M14" s="4">
        <f>IF(SUMIFS('Wage Detail Linked'!$O$5:$O$104,'Wage Detail Linked'!$B$5:$B$104,$A14,'Wage Detail Linked'!$C$5:$C$104,L$2,'Wage Detail Linked'!$E$5:$E$104,"")=0,IF(L14&gt;0,ROUND(L14*90,2),0),ROUND(SUMIFS('Wage Detail Linked'!$R$5:$R$104,'Wage Detail Linked'!$B$5:$B$104,$A14,'Wage Detail Linked'!$C$5:$C$104,L$2,'Wage Detail Linked'!$E$5:$E$104,"")*L14/SUMIFS('Wage Detail Linked'!$O$5:$O$104,'Wage Detail Linked'!$B$5:$B$104,$A14,'Wage Detail Linked'!$C$5:$C$104,L$2,'Wage Detail Linked'!$E$5:$E$104,""),2))</f>
      </c>
      <c r="N14" s="16">
        <f>SUMIFS('Wage Detail Linked'!$O$5:$O$104,'Wage Detail Linked'!$B$5:$B$104,$A14,'Wage Detail Linked'!$C$5:$C$104,N$2,'Wage Detail Linked'!$E$5:$E$104,"")</f>
      </c>
      <c r="O14" s="4">
        <f>IF(SUMIFS('Wage Detail Linked'!$O$5:$O$104,'Wage Detail Linked'!$B$5:$B$104,$A14,'Wage Detail Linked'!$C$5:$C$104,N$2,'Wage Detail Linked'!$E$5:$E$104,"")=0,IF(N14&gt;0,ROUND(N14*90,2),0),ROUND(SUMIFS('Wage Detail Linked'!$R$5:$R$104,'Wage Detail Linked'!$B$5:$B$104,$A14,'Wage Detail Linked'!$C$5:$C$104,N$2,'Wage Detail Linked'!$E$5:$E$104,"")*N14/SUMIFS('Wage Detail Linked'!$O$5:$O$104,'Wage Detail Linked'!$B$5:$B$104,$A14,'Wage Detail Linked'!$C$5:$C$104,N$2,'Wage Detail Linked'!$E$5:$E$104,""),2))</f>
      </c>
      <c r="P14" s="16">
        <f>'Missed Shifts'!C11</f>
      </c>
      <c r="Q14" s="13">
        <f>IF('Missed Shifts'!C11=0,IF(P14&gt;0,ROUND(P14*90,2),0),ROUND('Missed Shifts'!D11*P14/'Missed Shifts'!C11,2))</f>
      </c>
      <c r="R14" s="10">
        <f>SUM(B14,D14,F14,H14,J14,L14,N14,P14)</f>
      </c>
      <c r="S14" s="5">
        <f>SUM(C14,E14,G14,I14,K14,M14,O14,Q14)</f>
      </c>
      <c r="T14" s="4">
        <v>0</v>
      </c>
      <c r="U14" s="7">
        <v>0</v>
      </c>
      <c r="V14" s="4">
        <f>MAX(0,T14-U14)</f>
      </c>
      <c r="W14" s="4">
        <v>0</v>
      </c>
      <c r="X14" s="7">
        <v>0</v>
      </c>
      <c r="Y14" s="4">
        <f>MAX(0,0-X14)</f>
      </c>
      <c r="Z14" s="4">
        <f>U14+X14</f>
      </c>
      <c r="AA14" s="13">
        <f>MAX(0,S14-Z14)</f>
      </c>
    </row>
    <row r="15">
      <c r="A15" s="1" t="inlineStr">
        <is>
          <t xml:space="preserve">Sharleen Ndlovu</t>
        </is>
      </c>
      <c r="B15" s="16">
        <f>SUMIFS('Wage Detail Linked'!$O$5:$O$104,'Wage Detail Linked'!$B$5:$B$104,$A15,'Wage Detail Linked'!$C$5:$C$104,B$2,'Wage Detail Linked'!$E$5:$E$104,"")</f>
      </c>
      <c r="C15" s="4">
        <f>IF(SUMIFS('Wage Detail Linked'!$O$5:$O$104,'Wage Detail Linked'!$B$5:$B$104,$A15,'Wage Detail Linked'!$C$5:$C$104,B$2,'Wage Detail Linked'!$E$5:$E$104,"")=0,IF(B15&gt;0,ROUND(B15*90,2),0),ROUND(SUMIFS('Wage Detail Linked'!$R$5:$R$104,'Wage Detail Linked'!$B$5:$B$104,$A15,'Wage Detail Linked'!$C$5:$C$104,B$2,'Wage Detail Linked'!$E$5:$E$104,"")*B15/SUMIFS('Wage Detail Linked'!$O$5:$O$104,'Wage Detail Linked'!$B$5:$B$104,$A15,'Wage Detail Linked'!$C$5:$C$104,B$2,'Wage Detail Linked'!$E$5:$E$104,""),2))</f>
      </c>
      <c r="D15" s="16">
        <f>SUMIFS('Wage Detail Linked'!$O$5:$O$104,'Wage Detail Linked'!$B$5:$B$104,$A15,'Wage Detail Linked'!$C$5:$C$104,D$2,'Wage Detail Linked'!$E$5:$E$104,"")</f>
      </c>
      <c r="E15" s="4">
        <f>IF(SUMIFS('Wage Detail Linked'!$O$5:$O$104,'Wage Detail Linked'!$B$5:$B$104,$A15,'Wage Detail Linked'!$C$5:$C$104,D$2,'Wage Detail Linked'!$E$5:$E$104,"")=0,IF(D15&gt;0,ROUND(D15*90,2),0),ROUND(SUMIFS('Wage Detail Linked'!$R$5:$R$104,'Wage Detail Linked'!$B$5:$B$104,$A15,'Wage Detail Linked'!$C$5:$C$104,D$2,'Wage Detail Linked'!$E$5:$E$104,"")*D15/SUMIFS('Wage Detail Linked'!$O$5:$O$104,'Wage Detail Linked'!$B$5:$B$104,$A15,'Wage Detail Linked'!$C$5:$C$104,D$2,'Wage Detail Linked'!$E$5:$E$104,""),2))</f>
      </c>
      <c r="F15" s="16">
        <f>SUMIFS('Wage Detail Linked'!$O$5:$O$104,'Wage Detail Linked'!$B$5:$B$104,$A15,'Wage Detail Linked'!$C$5:$C$104,F$2,'Wage Detail Linked'!$E$5:$E$104,"")</f>
      </c>
      <c r="G15" s="4">
        <f>IF(SUMIFS('Wage Detail Linked'!$O$5:$O$104,'Wage Detail Linked'!$B$5:$B$104,$A15,'Wage Detail Linked'!$C$5:$C$104,F$2,'Wage Detail Linked'!$E$5:$E$104,"")=0,IF(F15&gt;0,ROUND(F15*90,2),0),ROUND(SUMIFS('Wage Detail Linked'!$R$5:$R$104,'Wage Detail Linked'!$B$5:$B$104,$A15,'Wage Detail Linked'!$C$5:$C$104,F$2,'Wage Detail Linked'!$E$5:$E$104,"")*F15/SUMIFS('Wage Detail Linked'!$O$5:$O$104,'Wage Detail Linked'!$B$5:$B$104,$A15,'Wage Detail Linked'!$C$5:$C$104,F$2,'Wage Detail Linked'!$E$5:$E$104,""),2))</f>
      </c>
      <c r="H15" s="16">
        <f>SUMIFS('Wage Detail Linked'!$O$5:$O$104,'Wage Detail Linked'!$B$5:$B$104,$A15,'Wage Detail Linked'!$C$5:$C$104,H$2,'Wage Detail Linked'!$E$5:$E$104,"")</f>
      </c>
      <c r="I15" s="4">
        <f>IF(SUMIFS('Wage Detail Linked'!$O$5:$O$104,'Wage Detail Linked'!$B$5:$B$104,$A15,'Wage Detail Linked'!$C$5:$C$104,H$2,'Wage Detail Linked'!$E$5:$E$104,"")=0,IF(H15&gt;0,ROUND(H15*90,2),0),ROUND(SUMIFS('Wage Detail Linked'!$R$5:$R$104,'Wage Detail Linked'!$B$5:$B$104,$A15,'Wage Detail Linked'!$C$5:$C$104,H$2,'Wage Detail Linked'!$E$5:$E$104,"")*H15/SUMIFS('Wage Detail Linked'!$O$5:$O$104,'Wage Detail Linked'!$B$5:$B$104,$A15,'Wage Detail Linked'!$C$5:$C$104,H$2,'Wage Detail Linked'!$E$5:$E$104,""),2))</f>
      </c>
      <c r="J15" s="16">
        <f>SUMIFS('Wage Detail Linked'!$O$5:$O$104,'Wage Detail Linked'!$B$5:$B$104,$A15,'Wage Detail Linked'!$C$5:$C$104,J$2,'Wage Detail Linked'!$E$5:$E$104,"")</f>
      </c>
      <c r="K15" s="4">
        <f>IF(SUMIFS('Wage Detail Linked'!$O$5:$O$104,'Wage Detail Linked'!$B$5:$B$104,$A15,'Wage Detail Linked'!$C$5:$C$104,J$2,'Wage Detail Linked'!$E$5:$E$104,"")=0,IF(J15&gt;0,ROUND(J15*90,2),0),ROUND(SUMIFS('Wage Detail Linked'!$R$5:$R$104,'Wage Detail Linked'!$B$5:$B$104,$A15,'Wage Detail Linked'!$C$5:$C$104,J$2,'Wage Detail Linked'!$E$5:$E$104,"")*J15/SUMIFS('Wage Detail Linked'!$O$5:$O$104,'Wage Detail Linked'!$B$5:$B$104,$A15,'Wage Detail Linked'!$C$5:$C$104,J$2,'Wage Detail Linked'!$E$5:$E$104,""),2))</f>
      </c>
      <c r="L15" s="16">
        <f>SUMIFS('Wage Detail Linked'!$O$5:$O$104,'Wage Detail Linked'!$B$5:$B$104,$A15,'Wage Detail Linked'!$C$5:$C$104,L$2,'Wage Detail Linked'!$E$5:$E$104,"")</f>
      </c>
      <c r="M15" s="4">
        <f>IF(SUMIFS('Wage Detail Linked'!$O$5:$O$104,'Wage Detail Linked'!$B$5:$B$104,$A15,'Wage Detail Linked'!$C$5:$C$104,L$2,'Wage Detail Linked'!$E$5:$E$104,"")=0,IF(L15&gt;0,ROUND(L15*90,2),0),ROUND(SUMIFS('Wage Detail Linked'!$R$5:$R$104,'Wage Detail Linked'!$B$5:$B$104,$A15,'Wage Detail Linked'!$C$5:$C$104,L$2,'Wage Detail Linked'!$E$5:$E$104,"")*L15/SUMIFS('Wage Detail Linked'!$O$5:$O$104,'Wage Detail Linked'!$B$5:$B$104,$A15,'Wage Detail Linked'!$C$5:$C$104,L$2,'Wage Detail Linked'!$E$5:$E$104,""),2))</f>
      </c>
      <c r="N15" s="16">
        <f>SUMIFS('Wage Detail Linked'!$O$5:$O$104,'Wage Detail Linked'!$B$5:$B$104,$A15,'Wage Detail Linked'!$C$5:$C$104,N$2,'Wage Detail Linked'!$E$5:$E$104,"")</f>
      </c>
      <c r="O15" s="4">
        <f>IF(SUMIFS('Wage Detail Linked'!$O$5:$O$104,'Wage Detail Linked'!$B$5:$B$104,$A15,'Wage Detail Linked'!$C$5:$C$104,N$2,'Wage Detail Linked'!$E$5:$E$104,"")=0,IF(N15&gt;0,ROUND(N15*90,2),0),ROUND(SUMIFS('Wage Detail Linked'!$R$5:$R$104,'Wage Detail Linked'!$B$5:$B$104,$A15,'Wage Detail Linked'!$C$5:$C$104,N$2,'Wage Detail Linked'!$E$5:$E$104,"")*N15/SUMIFS('Wage Detail Linked'!$O$5:$O$104,'Wage Detail Linked'!$B$5:$B$104,$A15,'Wage Detail Linked'!$C$5:$C$104,N$2,'Wage Detail Linked'!$E$5:$E$104,""),2))</f>
      </c>
      <c r="P15" s="16">
        <f>0</f>
      </c>
      <c r="Q15" s="13">
        <f>IF(P15&gt;0,ROUND(P15*90,2),0)</f>
      </c>
      <c r="R15" s="10">
        <f>SUM(B15,D15,F15,H15,J15,L15,N15,P15)</f>
      </c>
      <c r="S15" s="5">
        <v>3500</v>
      </c>
      <c r="T15" s="4">
        <v>0</v>
      </c>
      <c r="U15" s="7">
        <v>0</v>
      </c>
      <c r="V15" s="4">
        <f>MAX(0,T15-U15)</f>
      </c>
      <c r="W15" s="4">
        <v>0</v>
      </c>
      <c r="X15" s="7">
        <v>0</v>
      </c>
      <c r="Y15" s="4">
        <f>MAX(0,0-X15)</f>
      </c>
      <c r="Z15" s="4">
        <f>U15+X15</f>
      </c>
      <c r="AA15" s="13">
        <f>MAX(0,S15-Z15)</f>
      </c>
    </row>
    <row r="16">
      <c r="A16" s="1" t="inlineStr">
        <is>
          <t xml:space="preserve">Solomon Moyo</t>
        </is>
      </c>
      <c r="B16" s="16">
        <f>SUMIFS('Wage Detail Linked'!$O$5:$O$104,'Wage Detail Linked'!$B$5:$B$104,$A16,'Wage Detail Linked'!$C$5:$C$104,B$2,'Wage Detail Linked'!$E$5:$E$104,"")</f>
      </c>
      <c r="C16" s="4">
        <f>IF(SUMIFS('Wage Detail Linked'!$O$5:$O$104,'Wage Detail Linked'!$B$5:$B$104,$A16,'Wage Detail Linked'!$C$5:$C$104,B$2,'Wage Detail Linked'!$E$5:$E$104,"")=0,IF(B16&gt;0,ROUND(B16*90,2),0),ROUND(SUMIFS('Wage Detail Linked'!$R$5:$R$104,'Wage Detail Linked'!$B$5:$B$104,$A16,'Wage Detail Linked'!$C$5:$C$104,B$2,'Wage Detail Linked'!$E$5:$E$104,"")*B16/SUMIFS('Wage Detail Linked'!$O$5:$O$104,'Wage Detail Linked'!$B$5:$B$104,$A16,'Wage Detail Linked'!$C$5:$C$104,B$2,'Wage Detail Linked'!$E$5:$E$104,""),2))</f>
      </c>
      <c r="D16" s="16">
        <f>SUMIFS('Wage Detail Linked'!$O$5:$O$104,'Wage Detail Linked'!$B$5:$B$104,$A16,'Wage Detail Linked'!$C$5:$C$104,D$2,'Wage Detail Linked'!$E$5:$E$104,"")</f>
      </c>
      <c r="E16" s="4">
        <f>IF(SUMIFS('Wage Detail Linked'!$O$5:$O$104,'Wage Detail Linked'!$B$5:$B$104,$A16,'Wage Detail Linked'!$C$5:$C$104,D$2,'Wage Detail Linked'!$E$5:$E$104,"")=0,IF(D16&gt;0,ROUND(D16*90,2),0),ROUND(SUMIFS('Wage Detail Linked'!$R$5:$R$104,'Wage Detail Linked'!$B$5:$B$104,$A16,'Wage Detail Linked'!$C$5:$C$104,D$2,'Wage Detail Linked'!$E$5:$E$104,"")*D16/SUMIFS('Wage Detail Linked'!$O$5:$O$104,'Wage Detail Linked'!$B$5:$B$104,$A16,'Wage Detail Linked'!$C$5:$C$104,D$2,'Wage Detail Linked'!$E$5:$E$104,""),2))</f>
      </c>
      <c r="F16" s="16">
        <f>SUMIFS('Wage Detail Linked'!$O$5:$O$104,'Wage Detail Linked'!$B$5:$B$104,$A16,'Wage Detail Linked'!$C$5:$C$104,F$2,'Wage Detail Linked'!$E$5:$E$104,"")</f>
      </c>
      <c r="G16" s="4">
        <f>IF(SUMIFS('Wage Detail Linked'!$O$5:$O$104,'Wage Detail Linked'!$B$5:$B$104,$A16,'Wage Detail Linked'!$C$5:$C$104,F$2,'Wage Detail Linked'!$E$5:$E$104,"")=0,IF(F16&gt;0,ROUND(F16*90,2),0),ROUND(SUMIFS('Wage Detail Linked'!$R$5:$R$104,'Wage Detail Linked'!$B$5:$B$104,$A16,'Wage Detail Linked'!$C$5:$C$104,F$2,'Wage Detail Linked'!$E$5:$E$104,"")*F16/SUMIFS('Wage Detail Linked'!$O$5:$O$104,'Wage Detail Linked'!$B$5:$B$104,$A16,'Wage Detail Linked'!$C$5:$C$104,F$2,'Wage Detail Linked'!$E$5:$E$104,""),2))</f>
      </c>
      <c r="H16" s="16">
        <f>SUMIFS('Wage Detail Linked'!$O$5:$O$104,'Wage Detail Linked'!$B$5:$B$104,$A16,'Wage Detail Linked'!$C$5:$C$104,H$2,'Wage Detail Linked'!$E$5:$E$104,"")</f>
      </c>
      <c r="I16" s="4">
        <f>IF(SUMIFS('Wage Detail Linked'!$O$5:$O$104,'Wage Detail Linked'!$B$5:$B$104,$A16,'Wage Detail Linked'!$C$5:$C$104,H$2,'Wage Detail Linked'!$E$5:$E$104,"")=0,IF(H16&gt;0,ROUND(H16*90,2),0),ROUND(SUMIFS('Wage Detail Linked'!$R$5:$R$104,'Wage Detail Linked'!$B$5:$B$104,$A16,'Wage Detail Linked'!$C$5:$C$104,H$2,'Wage Detail Linked'!$E$5:$E$104,"")*H16/SUMIFS('Wage Detail Linked'!$O$5:$O$104,'Wage Detail Linked'!$B$5:$B$104,$A16,'Wage Detail Linked'!$C$5:$C$104,H$2,'Wage Detail Linked'!$E$5:$E$104,""),2))</f>
      </c>
      <c r="J16" s="16">
        <f>SUMIFS('Wage Detail Linked'!$O$5:$O$104,'Wage Detail Linked'!$B$5:$B$104,$A16,'Wage Detail Linked'!$C$5:$C$104,J$2,'Wage Detail Linked'!$E$5:$E$104,"")</f>
      </c>
      <c r="K16" s="4">
        <f>IF(SUMIFS('Wage Detail Linked'!$O$5:$O$104,'Wage Detail Linked'!$B$5:$B$104,$A16,'Wage Detail Linked'!$C$5:$C$104,J$2,'Wage Detail Linked'!$E$5:$E$104,"")=0,IF(J16&gt;0,ROUND(J16*90,2),0),ROUND(SUMIFS('Wage Detail Linked'!$R$5:$R$104,'Wage Detail Linked'!$B$5:$B$104,$A16,'Wage Detail Linked'!$C$5:$C$104,J$2,'Wage Detail Linked'!$E$5:$E$104,"")*J16/SUMIFS('Wage Detail Linked'!$O$5:$O$104,'Wage Detail Linked'!$B$5:$B$104,$A16,'Wage Detail Linked'!$C$5:$C$104,J$2,'Wage Detail Linked'!$E$5:$E$104,""),2))</f>
      </c>
      <c r="L16" s="16">
        <f>SUMIFS('Wage Detail Linked'!$O$5:$O$104,'Wage Detail Linked'!$B$5:$B$104,$A16,'Wage Detail Linked'!$C$5:$C$104,L$2,'Wage Detail Linked'!$E$5:$E$104,"")</f>
      </c>
      <c r="M16" s="4">
        <f>IF(SUMIFS('Wage Detail Linked'!$O$5:$O$104,'Wage Detail Linked'!$B$5:$B$104,$A16,'Wage Detail Linked'!$C$5:$C$104,L$2,'Wage Detail Linked'!$E$5:$E$104,"")=0,IF(L16&gt;0,ROUND(L16*90,2),0),ROUND(SUMIFS('Wage Detail Linked'!$R$5:$R$104,'Wage Detail Linked'!$B$5:$B$104,$A16,'Wage Detail Linked'!$C$5:$C$104,L$2,'Wage Detail Linked'!$E$5:$E$104,"")*L16/SUMIFS('Wage Detail Linked'!$O$5:$O$104,'Wage Detail Linked'!$B$5:$B$104,$A16,'Wage Detail Linked'!$C$5:$C$104,L$2,'Wage Detail Linked'!$E$5:$E$104,""),2))</f>
      </c>
      <c r="N16" s="16">
        <f>SUMIFS('Wage Detail Linked'!$O$5:$O$104,'Wage Detail Linked'!$B$5:$B$104,$A16,'Wage Detail Linked'!$C$5:$C$104,N$2,'Wage Detail Linked'!$E$5:$E$104,"")</f>
      </c>
      <c r="O16" s="4">
        <f>IF(SUMIFS('Wage Detail Linked'!$O$5:$O$104,'Wage Detail Linked'!$B$5:$B$104,$A16,'Wage Detail Linked'!$C$5:$C$104,N$2,'Wage Detail Linked'!$E$5:$E$104,"")=0,IF(N16&gt;0,ROUND(N16*90,2),0),ROUND(SUMIFS('Wage Detail Linked'!$R$5:$R$104,'Wage Detail Linked'!$B$5:$B$104,$A16,'Wage Detail Linked'!$C$5:$C$104,N$2,'Wage Detail Linked'!$E$5:$E$104,"")*N16/SUMIFS('Wage Detail Linked'!$O$5:$O$104,'Wage Detail Linked'!$B$5:$B$104,$A16,'Wage Detail Linked'!$C$5:$C$104,N$2,'Wage Detail Linked'!$E$5:$E$104,""),2))</f>
      </c>
      <c r="P16" s="16">
        <f>0</f>
      </c>
      <c r="Q16" s="13">
        <f>IF(P16&gt;0,ROUND(P16*90,2),0)</f>
      </c>
      <c r="R16" s="10">
        <f>SUM(B16,D16,F16,H16,J16,L16,N16,P16)</f>
      </c>
      <c r="S16" s="5">
        <f>SUM(C16,E16,G16,I16,K16,M16,O16,Q16)</f>
      </c>
      <c r="T16" s="4">
        <v>0</v>
      </c>
      <c r="U16" s="7">
        <v>0</v>
      </c>
      <c r="V16" s="4">
        <f>MAX(0,T16-U16)</f>
      </c>
      <c r="W16" s="4">
        <v>0</v>
      </c>
      <c r="X16" s="7">
        <v>0</v>
      </c>
      <c r="Y16" s="4">
        <f>MAX(0,0-X16)</f>
      </c>
      <c r="Z16" s="4">
        <f>U16+X16</f>
      </c>
      <c r="AA16" s="13">
        <f>MAX(0,S16-Z16)</f>
      </c>
    </row>
    <row r="17">
      <c r="A17" s="1" t="inlineStr">
        <is>
          <t xml:space="preserve">Takavaudza Chokuda</t>
        </is>
      </c>
      <c r="B17" s="16">
        <f>SUMIFS('Wage Detail Linked'!$O$5:$O$104,'Wage Detail Linked'!$B$5:$B$104,$A17,'Wage Detail Linked'!$C$5:$C$104,B$2,'Wage Detail Linked'!$E$5:$E$104,"")</f>
      </c>
      <c r="C17" s="4">
        <f>IF(SUMIFS('Wage Detail Linked'!$O$5:$O$104,'Wage Detail Linked'!$B$5:$B$104,$A17,'Wage Detail Linked'!$C$5:$C$104,B$2,'Wage Detail Linked'!$E$5:$E$104,"")=0,IF(B17&gt;0,ROUND(B17*90,2),0),ROUND(SUMIFS('Wage Detail Linked'!$R$5:$R$104,'Wage Detail Linked'!$B$5:$B$104,$A17,'Wage Detail Linked'!$C$5:$C$104,B$2,'Wage Detail Linked'!$E$5:$E$104,"")*B17/SUMIFS('Wage Detail Linked'!$O$5:$O$104,'Wage Detail Linked'!$B$5:$B$104,$A17,'Wage Detail Linked'!$C$5:$C$104,B$2,'Wage Detail Linked'!$E$5:$E$104,""),2))</f>
      </c>
      <c r="D17" s="16">
        <f>SUMIFS('Wage Detail Linked'!$O$5:$O$104,'Wage Detail Linked'!$B$5:$B$104,$A17,'Wage Detail Linked'!$C$5:$C$104,D$2,'Wage Detail Linked'!$E$5:$E$104,"")</f>
      </c>
      <c r="E17" s="4">
        <f>IF(SUMIFS('Wage Detail Linked'!$O$5:$O$104,'Wage Detail Linked'!$B$5:$B$104,$A17,'Wage Detail Linked'!$C$5:$C$104,D$2,'Wage Detail Linked'!$E$5:$E$104,"")=0,IF(D17&gt;0,ROUND(D17*90,2),0),ROUND(SUMIFS('Wage Detail Linked'!$R$5:$R$104,'Wage Detail Linked'!$B$5:$B$104,$A17,'Wage Detail Linked'!$C$5:$C$104,D$2,'Wage Detail Linked'!$E$5:$E$104,"")*D17/SUMIFS('Wage Detail Linked'!$O$5:$O$104,'Wage Detail Linked'!$B$5:$B$104,$A17,'Wage Detail Linked'!$C$5:$C$104,D$2,'Wage Detail Linked'!$E$5:$E$104,""),2))</f>
      </c>
      <c r="F17" s="16">
        <f>SUMIFS('Wage Detail Linked'!$O$5:$O$104,'Wage Detail Linked'!$B$5:$B$104,$A17,'Wage Detail Linked'!$C$5:$C$104,F$2,'Wage Detail Linked'!$E$5:$E$104,"")</f>
      </c>
      <c r="G17" s="4">
        <f>IF(SUMIFS('Wage Detail Linked'!$O$5:$O$104,'Wage Detail Linked'!$B$5:$B$104,$A17,'Wage Detail Linked'!$C$5:$C$104,F$2,'Wage Detail Linked'!$E$5:$E$104,"")=0,IF(F17&gt;0,ROUND(F17*90,2),0),ROUND(SUMIFS('Wage Detail Linked'!$R$5:$R$104,'Wage Detail Linked'!$B$5:$B$104,$A17,'Wage Detail Linked'!$C$5:$C$104,F$2,'Wage Detail Linked'!$E$5:$E$104,"")*F17/SUMIFS('Wage Detail Linked'!$O$5:$O$104,'Wage Detail Linked'!$B$5:$B$104,$A17,'Wage Detail Linked'!$C$5:$C$104,F$2,'Wage Detail Linked'!$E$5:$E$104,""),2))</f>
      </c>
      <c r="H17" s="16">
        <f>SUMIFS('Wage Detail Linked'!$O$5:$O$104,'Wage Detail Linked'!$B$5:$B$104,$A17,'Wage Detail Linked'!$C$5:$C$104,H$2,'Wage Detail Linked'!$E$5:$E$104,"")</f>
      </c>
      <c r="I17" s="4">
        <f>IF(SUMIFS('Wage Detail Linked'!$O$5:$O$104,'Wage Detail Linked'!$B$5:$B$104,$A17,'Wage Detail Linked'!$C$5:$C$104,H$2,'Wage Detail Linked'!$E$5:$E$104,"")=0,IF(H17&gt;0,ROUND(H17*90,2),0),ROUND(SUMIFS('Wage Detail Linked'!$R$5:$R$104,'Wage Detail Linked'!$B$5:$B$104,$A17,'Wage Detail Linked'!$C$5:$C$104,H$2,'Wage Detail Linked'!$E$5:$E$104,"")*H17/SUMIFS('Wage Detail Linked'!$O$5:$O$104,'Wage Detail Linked'!$B$5:$B$104,$A17,'Wage Detail Linked'!$C$5:$C$104,H$2,'Wage Detail Linked'!$E$5:$E$104,""),2))</f>
      </c>
      <c r="J17" s="16">
        <f>SUMIFS('Wage Detail Linked'!$O$5:$O$104,'Wage Detail Linked'!$B$5:$B$104,$A17,'Wage Detail Linked'!$C$5:$C$104,J$2,'Wage Detail Linked'!$E$5:$E$104,"")</f>
      </c>
      <c r="K17" s="4">
        <f>IF(SUMIFS('Wage Detail Linked'!$O$5:$O$104,'Wage Detail Linked'!$B$5:$B$104,$A17,'Wage Detail Linked'!$C$5:$C$104,J$2,'Wage Detail Linked'!$E$5:$E$104,"")=0,IF(J17&gt;0,ROUND(J17*90,2),0),ROUND(SUMIFS('Wage Detail Linked'!$R$5:$R$104,'Wage Detail Linked'!$B$5:$B$104,$A17,'Wage Detail Linked'!$C$5:$C$104,J$2,'Wage Detail Linked'!$E$5:$E$104,"")*J17/SUMIFS('Wage Detail Linked'!$O$5:$O$104,'Wage Detail Linked'!$B$5:$B$104,$A17,'Wage Detail Linked'!$C$5:$C$104,J$2,'Wage Detail Linked'!$E$5:$E$104,""),2))</f>
      </c>
      <c r="L17" s="16">
        <f>SUMIFS('Wage Detail Linked'!$O$5:$O$104,'Wage Detail Linked'!$B$5:$B$104,$A17,'Wage Detail Linked'!$C$5:$C$104,L$2,'Wage Detail Linked'!$E$5:$E$104,"")</f>
      </c>
      <c r="M17" s="4">
        <f>IF(SUMIFS('Wage Detail Linked'!$O$5:$O$104,'Wage Detail Linked'!$B$5:$B$104,$A17,'Wage Detail Linked'!$C$5:$C$104,L$2,'Wage Detail Linked'!$E$5:$E$104,"")=0,IF(L17&gt;0,ROUND(L17*90,2),0),ROUND(SUMIFS('Wage Detail Linked'!$R$5:$R$104,'Wage Detail Linked'!$B$5:$B$104,$A17,'Wage Detail Linked'!$C$5:$C$104,L$2,'Wage Detail Linked'!$E$5:$E$104,"")*L17/SUMIFS('Wage Detail Linked'!$O$5:$O$104,'Wage Detail Linked'!$B$5:$B$104,$A17,'Wage Detail Linked'!$C$5:$C$104,L$2,'Wage Detail Linked'!$E$5:$E$104,""),2))</f>
      </c>
      <c r="N17" s="16">
        <f>SUMIFS('Wage Detail Linked'!$O$5:$O$104,'Wage Detail Linked'!$B$5:$B$104,$A17,'Wage Detail Linked'!$C$5:$C$104,N$2,'Wage Detail Linked'!$E$5:$E$104,"")</f>
      </c>
      <c r="O17" s="4">
        <f>IF(SUMIFS('Wage Detail Linked'!$O$5:$O$104,'Wage Detail Linked'!$B$5:$B$104,$A17,'Wage Detail Linked'!$C$5:$C$104,N$2,'Wage Detail Linked'!$E$5:$E$104,"")=0,IF(N17&gt;0,ROUND(N17*90,2),0),ROUND(SUMIFS('Wage Detail Linked'!$R$5:$R$104,'Wage Detail Linked'!$B$5:$B$104,$A17,'Wage Detail Linked'!$C$5:$C$104,N$2,'Wage Detail Linked'!$E$5:$E$104,"")*N17/SUMIFS('Wage Detail Linked'!$O$5:$O$104,'Wage Detail Linked'!$B$5:$B$104,$A17,'Wage Detail Linked'!$C$5:$C$104,N$2,'Wage Detail Linked'!$E$5:$E$104,""),2))</f>
      </c>
      <c r="P17" s="16">
        <f>'Missed Shifts'!C14</f>
      </c>
      <c r="Q17" s="13">
        <f>IF('Missed Shifts'!C14=0,IF(P17&gt;0,ROUND(P17*90,2),0),ROUND('Missed Shifts'!D14*P17/'Missed Shifts'!C14,2))</f>
      </c>
      <c r="R17" s="10">
        <f>SUM(B17,D17,F17,H17,J17,L17,N17,P17)</f>
      </c>
      <c r="S17" s="5">
        <f>SUM(C17,E17,G17,I17,K17,M17,O17,Q17)</f>
      </c>
      <c r="T17" s="4">
        <v>0</v>
      </c>
      <c r="U17" s="7">
        <v>0</v>
      </c>
      <c r="V17" s="4">
        <f>MAX(0,T17-U17)</f>
      </c>
      <c r="W17" s="4">
        <v>0</v>
      </c>
      <c r="X17" s="7">
        <v>0</v>
      </c>
      <c r="Y17" s="4">
        <f>MAX(0,0-X17)</f>
      </c>
      <c r="Z17" s="4">
        <f>U17+X17</f>
      </c>
      <c r="AA17" s="13">
        <f>MAX(0,S17-Z17)</f>
      </c>
    </row>
    <row r="18">
      <c r="A18" s="1" t="inlineStr">
        <is>
          <t xml:space="preserve">Thandanani Nkala</t>
        </is>
      </c>
      <c r="B18" s="16">
        <f>SUMIFS('Wage Detail Linked'!$O$5:$O$104,'Wage Detail Linked'!$B$5:$B$104,$A18,'Wage Detail Linked'!$C$5:$C$104,B$2,'Wage Detail Linked'!$E$5:$E$104,"")</f>
      </c>
      <c r="C18" s="4">
        <f>IF(SUMIFS('Wage Detail Linked'!$O$5:$O$104,'Wage Detail Linked'!$B$5:$B$104,$A18,'Wage Detail Linked'!$C$5:$C$104,B$2,'Wage Detail Linked'!$E$5:$E$104,"")=0,IF(B18&gt;0,ROUND(B18*90,2),0),ROUND(SUMIFS('Wage Detail Linked'!$R$5:$R$104,'Wage Detail Linked'!$B$5:$B$104,$A18,'Wage Detail Linked'!$C$5:$C$104,B$2,'Wage Detail Linked'!$E$5:$E$104,"")*B18/SUMIFS('Wage Detail Linked'!$O$5:$O$104,'Wage Detail Linked'!$B$5:$B$104,$A18,'Wage Detail Linked'!$C$5:$C$104,B$2,'Wage Detail Linked'!$E$5:$E$104,""),2))</f>
      </c>
      <c r="D18" s="16">
        <f>SUMIFS('Wage Detail Linked'!$O$5:$O$104,'Wage Detail Linked'!$B$5:$B$104,$A18,'Wage Detail Linked'!$C$5:$C$104,D$2,'Wage Detail Linked'!$E$5:$E$104,"")</f>
      </c>
      <c r="E18" s="4">
        <f>IF(SUMIFS('Wage Detail Linked'!$O$5:$O$104,'Wage Detail Linked'!$B$5:$B$104,$A18,'Wage Detail Linked'!$C$5:$C$104,D$2,'Wage Detail Linked'!$E$5:$E$104,"")=0,IF(D18&gt;0,ROUND(D18*90,2),0),ROUND(SUMIFS('Wage Detail Linked'!$R$5:$R$104,'Wage Detail Linked'!$B$5:$B$104,$A18,'Wage Detail Linked'!$C$5:$C$104,D$2,'Wage Detail Linked'!$E$5:$E$104,"")*D18/SUMIFS('Wage Detail Linked'!$O$5:$O$104,'Wage Detail Linked'!$B$5:$B$104,$A18,'Wage Detail Linked'!$C$5:$C$104,D$2,'Wage Detail Linked'!$E$5:$E$104,""),2))</f>
      </c>
      <c r="F18" s="16">
        <f>SUMIFS('Wage Detail Linked'!$O$5:$O$104,'Wage Detail Linked'!$B$5:$B$104,$A18,'Wage Detail Linked'!$C$5:$C$104,F$2,'Wage Detail Linked'!$E$5:$E$104,"")</f>
      </c>
      <c r="G18" s="4">
        <f>IF(SUMIFS('Wage Detail Linked'!$O$5:$O$104,'Wage Detail Linked'!$B$5:$B$104,$A18,'Wage Detail Linked'!$C$5:$C$104,F$2,'Wage Detail Linked'!$E$5:$E$104,"")=0,IF(F18&gt;0,ROUND(F18*90,2),0),ROUND(SUMIFS('Wage Detail Linked'!$R$5:$R$104,'Wage Detail Linked'!$B$5:$B$104,$A18,'Wage Detail Linked'!$C$5:$C$104,F$2,'Wage Detail Linked'!$E$5:$E$104,"")*F18/SUMIFS('Wage Detail Linked'!$O$5:$O$104,'Wage Detail Linked'!$B$5:$B$104,$A18,'Wage Detail Linked'!$C$5:$C$104,F$2,'Wage Detail Linked'!$E$5:$E$104,""),2))</f>
      </c>
      <c r="H18" s="16">
        <f>SUMIFS('Wage Detail Linked'!$O$5:$O$104,'Wage Detail Linked'!$B$5:$B$104,$A18,'Wage Detail Linked'!$C$5:$C$104,H$2,'Wage Detail Linked'!$E$5:$E$104,"")</f>
      </c>
      <c r="I18" s="4">
        <f>IF(SUMIFS('Wage Detail Linked'!$O$5:$O$104,'Wage Detail Linked'!$B$5:$B$104,$A18,'Wage Detail Linked'!$C$5:$C$104,H$2,'Wage Detail Linked'!$E$5:$E$104,"")=0,IF(H18&gt;0,ROUND(H18*90,2),0),ROUND(SUMIFS('Wage Detail Linked'!$R$5:$R$104,'Wage Detail Linked'!$B$5:$B$104,$A18,'Wage Detail Linked'!$C$5:$C$104,H$2,'Wage Detail Linked'!$E$5:$E$104,"")*H18/SUMIFS('Wage Detail Linked'!$O$5:$O$104,'Wage Detail Linked'!$B$5:$B$104,$A18,'Wage Detail Linked'!$C$5:$C$104,H$2,'Wage Detail Linked'!$E$5:$E$104,""),2))</f>
      </c>
      <c r="J18" s="16">
        <f>SUMIFS('Wage Detail Linked'!$O$5:$O$104,'Wage Detail Linked'!$B$5:$B$104,$A18,'Wage Detail Linked'!$C$5:$C$104,J$2,'Wage Detail Linked'!$E$5:$E$104,"")</f>
      </c>
      <c r="K18" s="4">
        <f>IF(SUMIFS('Wage Detail Linked'!$O$5:$O$104,'Wage Detail Linked'!$B$5:$B$104,$A18,'Wage Detail Linked'!$C$5:$C$104,J$2,'Wage Detail Linked'!$E$5:$E$104,"")=0,IF(J18&gt;0,ROUND(J18*90,2),0),ROUND(SUMIFS('Wage Detail Linked'!$R$5:$R$104,'Wage Detail Linked'!$B$5:$B$104,$A18,'Wage Detail Linked'!$C$5:$C$104,J$2,'Wage Detail Linked'!$E$5:$E$104,"")*J18/SUMIFS('Wage Detail Linked'!$O$5:$O$104,'Wage Detail Linked'!$B$5:$B$104,$A18,'Wage Detail Linked'!$C$5:$C$104,J$2,'Wage Detail Linked'!$E$5:$E$104,""),2))</f>
      </c>
      <c r="L18" s="16">
        <f>SUMIFS('Wage Detail Linked'!$O$5:$O$104,'Wage Detail Linked'!$B$5:$B$104,$A18,'Wage Detail Linked'!$C$5:$C$104,L$2,'Wage Detail Linked'!$E$5:$E$104,"")</f>
      </c>
      <c r="M18" s="4">
        <f>IF(SUMIFS('Wage Detail Linked'!$O$5:$O$104,'Wage Detail Linked'!$B$5:$B$104,$A18,'Wage Detail Linked'!$C$5:$C$104,L$2,'Wage Detail Linked'!$E$5:$E$104,"")=0,IF(L18&gt;0,ROUND(L18*90,2),0),ROUND(SUMIFS('Wage Detail Linked'!$R$5:$R$104,'Wage Detail Linked'!$B$5:$B$104,$A18,'Wage Detail Linked'!$C$5:$C$104,L$2,'Wage Detail Linked'!$E$5:$E$104,"")*L18/SUMIFS('Wage Detail Linked'!$O$5:$O$104,'Wage Detail Linked'!$B$5:$B$104,$A18,'Wage Detail Linked'!$C$5:$C$104,L$2,'Wage Detail Linked'!$E$5:$E$104,""),2))</f>
      </c>
      <c r="N18" s="16">
        <f>SUMIFS('Wage Detail Linked'!$O$5:$O$104,'Wage Detail Linked'!$B$5:$B$104,$A18,'Wage Detail Linked'!$C$5:$C$104,N$2,'Wage Detail Linked'!$E$5:$E$104,"")</f>
      </c>
      <c r="O18" s="4">
        <f>IF(SUMIFS('Wage Detail Linked'!$O$5:$O$104,'Wage Detail Linked'!$B$5:$B$104,$A18,'Wage Detail Linked'!$C$5:$C$104,N$2,'Wage Detail Linked'!$E$5:$E$104,"")=0,IF(N18&gt;0,ROUND(N18*90,2),0),ROUND(SUMIFS('Wage Detail Linked'!$R$5:$R$104,'Wage Detail Linked'!$B$5:$B$104,$A18,'Wage Detail Linked'!$C$5:$C$104,N$2,'Wage Detail Linked'!$E$5:$E$104,"")*N18/SUMIFS('Wage Detail Linked'!$O$5:$O$104,'Wage Detail Linked'!$B$5:$B$104,$A18,'Wage Detail Linked'!$C$5:$C$104,N$2,'Wage Detail Linked'!$E$5:$E$104,""),2))</f>
      </c>
      <c r="P18" s="16">
        <f>0</f>
      </c>
      <c r="Q18" s="13">
        <f>IF(P18&gt;0,ROUND(P18*90,2),0)</f>
      </c>
      <c r="R18" s="10">
        <f>SUM(B18,D18,F18,H18,J18,L18,N18,P18)</f>
      </c>
      <c r="S18" s="5">
        <f>SUM(C18,E18,G18,I18,K18,M18,O18,Q18)</f>
      </c>
      <c r="T18" s="4">
        <v>0</v>
      </c>
      <c r="U18" s="7">
        <v>0</v>
      </c>
      <c r="V18" s="4">
        <f>MAX(0,T18-U18)</f>
      </c>
      <c r="W18" s="4">
        <v>0</v>
      </c>
      <c r="X18" s="7">
        <v>0</v>
      </c>
      <c r="Y18" s="4">
        <f>MAX(0,0-X18)</f>
      </c>
      <c r="Z18" s="4">
        <f>U18+X18</f>
      </c>
      <c r="AA18" s="13">
        <f>MAX(0,S18-Z18)</f>
      </c>
    </row>
    <row r="19">
      <c r="A19" s="1" t="inlineStr">
        <is>
          <t xml:space="preserve">Thina Dyani</t>
        </is>
      </c>
      <c r="B19" s="16">
        <f>SUMIFS('Wage Detail Linked'!$O$5:$O$104,'Wage Detail Linked'!$B$5:$B$104,$A19,'Wage Detail Linked'!$C$5:$C$104,B$2,'Wage Detail Linked'!$E$5:$E$104,"")</f>
      </c>
      <c r="C19" s="4">
        <f>IF(SUMIFS('Wage Detail Linked'!$O$5:$O$104,'Wage Detail Linked'!$B$5:$B$104,$A19,'Wage Detail Linked'!$C$5:$C$104,B$2,'Wage Detail Linked'!$E$5:$E$104,"")=0,IF(B19&gt;0,ROUND(B19*90,2),0),ROUND(SUMIFS('Wage Detail Linked'!$R$5:$R$104,'Wage Detail Linked'!$B$5:$B$104,$A19,'Wage Detail Linked'!$C$5:$C$104,B$2,'Wage Detail Linked'!$E$5:$E$104,"")*B19/SUMIFS('Wage Detail Linked'!$O$5:$O$104,'Wage Detail Linked'!$B$5:$B$104,$A19,'Wage Detail Linked'!$C$5:$C$104,B$2,'Wage Detail Linked'!$E$5:$E$104,""),2))</f>
      </c>
      <c r="D19" s="16">
        <f>SUMIFS('Wage Detail Linked'!$O$5:$O$104,'Wage Detail Linked'!$B$5:$B$104,$A19,'Wage Detail Linked'!$C$5:$C$104,D$2,'Wage Detail Linked'!$E$5:$E$104,"")</f>
      </c>
      <c r="E19" s="4">
        <f>IF(SUMIFS('Wage Detail Linked'!$O$5:$O$104,'Wage Detail Linked'!$B$5:$B$104,$A19,'Wage Detail Linked'!$C$5:$C$104,D$2,'Wage Detail Linked'!$E$5:$E$104,"")=0,IF(D19&gt;0,ROUND(D19*90,2),0),ROUND(SUMIFS('Wage Detail Linked'!$R$5:$R$104,'Wage Detail Linked'!$B$5:$B$104,$A19,'Wage Detail Linked'!$C$5:$C$104,D$2,'Wage Detail Linked'!$E$5:$E$104,"")*D19/SUMIFS('Wage Detail Linked'!$O$5:$O$104,'Wage Detail Linked'!$B$5:$B$104,$A19,'Wage Detail Linked'!$C$5:$C$104,D$2,'Wage Detail Linked'!$E$5:$E$104,""),2))</f>
      </c>
      <c r="F19" s="16">
        <f>SUMIFS('Wage Detail Linked'!$O$5:$O$104,'Wage Detail Linked'!$B$5:$B$104,$A19,'Wage Detail Linked'!$C$5:$C$104,F$2,'Wage Detail Linked'!$E$5:$E$104,"")</f>
      </c>
      <c r="G19" s="4">
        <f>IF(SUMIFS('Wage Detail Linked'!$O$5:$O$104,'Wage Detail Linked'!$B$5:$B$104,$A19,'Wage Detail Linked'!$C$5:$C$104,F$2,'Wage Detail Linked'!$E$5:$E$104,"")=0,IF(F19&gt;0,ROUND(F19*90,2),0),ROUND(SUMIFS('Wage Detail Linked'!$R$5:$R$104,'Wage Detail Linked'!$B$5:$B$104,$A19,'Wage Detail Linked'!$C$5:$C$104,F$2,'Wage Detail Linked'!$E$5:$E$104,"")*F19/SUMIFS('Wage Detail Linked'!$O$5:$O$104,'Wage Detail Linked'!$B$5:$B$104,$A19,'Wage Detail Linked'!$C$5:$C$104,F$2,'Wage Detail Linked'!$E$5:$E$104,""),2))</f>
      </c>
      <c r="H19" s="16">
        <f>SUMIFS('Wage Detail Linked'!$O$5:$O$104,'Wage Detail Linked'!$B$5:$B$104,$A19,'Wage Detail Linked'!$C$5:$C$104,H$2,'Wage Detail Linked'!$E$5:$E$104,"")</f>
      </c>
      <c r="I19" s="4">
        <f>IF(SUMIFS('Wage Detail Linked'!$O$5:$O$104,'Wage Detail Linked'!$B$5:$B$104,$A19,'Wage Detail Linked'!$C$5:$C$104,H$2,'Wage Detail Linked'!$E$5:$E$104,"")=0,IF(H19&gt;0,ROUND(H19*90,2),0),ROUND(SUMIFS('Wage Detail Linked'!$R$5:$R$104,'Wage Detail Linked'!$B$5:$B$104,$A19,'Wage Detail Linked'!$C$5:$C$104,H$2,'Wage Detail Linked'!$E$5:$E$104,"")*H19/SUMIFS('Wage Detail Linked'!$O$5:$O$104,'Wage Detail Linked'!$B$5:$B$104,$A19,'Wage Detail Linked'!$C$5:$C$104,H$2,'Wage Detail Linked'!$E$5:$E$104,""),2))</f>
      </c>
      <c r="J19" s="16">
        <f>SUMIFS('Wage Detail Linked'!$O$5:$O$104,'Wage Detail Linked'!$B$5:$B$104,$A19,'Wage Detail Linked'!$C$5:$C$104,J$2,'Wage Detail Linked'!$E$5:$E$104,"")</f>
      </c>
      <c r="K19" s="4">
        <f>IF(SUMIFS('Wage Detail Linked'!$O$5:$O$104,'Wage Detail Linked'!$B$5:$B$104,$A19,'Wage Detail Linked'!$C$5:$C$104,J$2,'Wage Detail Linked'!$E$5:$E$104,"")=0,IF(J19&gt;0,ROUND(J19*90,2),0),ROUND(SUMIFS('Wage Detail Linked'!$R$5:$R$104,'Wage Detail Linked'!$B$5:$B$104,$A19,'Wage Detail Linked'!$C$5:$C$104,J$2,'Wage Detail Linked'!$E$5:$E$104,"")*J19/SUMIFS('Wage Detail Linked'!$O$5:$O$104,'Wage Detail Linked'!$B$5:$B$104,$A19,'Wage Detail Linked'!$C$5:$C$104,J$2,'Wage Detail Linked'!$E$5:$E$104,""),2))</f>
      </c>
      <c r="L19" s="16">
        <f>SUMIFS('Wage Detail Linked'!$O$5:$O$104,'Wage Detail Linked'!$B$5:$B$104,$A19,'Wage Detail Linked'!$C$5:$C$104,L$2,'Wage Detail Linked'!$E$5:$E$104,"")</f>
      </c>
      <c r="M19" s="4">
        <f>IF(SUMIFS('Wage Detail Linked'!$O$5:$O$104,'Wage Detail Linked'!$B$5:$B$104,$A19,'Wage Detail Linked'!$C$5:$C$104,L$2,'Wage Detail Linked'!$E$5:$E$104,"")=0,IF(L19&gt;0,ROUND(L19*90,2),0),ROUND(SUMIFS('Wage Detail Linked'!$R$5:$R$104,'Wage Detail Linked'!$B$5:$B$104,$A19,'Wage Detail Linked'!$C$5:$C$104,L$2,'Wage Detail Linked'!$E$5:$E$104,"")*L19/SUMIFS('Wage Detail Linked'!$O$5:$O$104,'Wage Detail Linked'!$B$5:$B$104,$A19,'Wage Detail Linked'!$C$5:$C$104,L$2,'Wage Detail Linked'!$E$5:$E$104,""),2))</f>
      </c>
      <c r="N19" s="16">
        <f>SUMIFS('Wage Detail Linked'!$O$5:$O$104,'Wage Detail Linked'!$B$5:$B$104,$A19,'Wage Detail Linked'!$C$5:$C$104,N$2,'Wage Detail Linked'!$E$5:$E$104,"")</f>
      </c>
      <c r="O19" s="4">
        <f>IF(SUMIFS('Wage Detail Linked'!$O$5:$O$104,'Wage Detail Linked'!$B$5:$B$104,$A19,'Wage Detail Linked'!$C$5:$C$104,N$2,'Wage Detail Linked'!$E$5:$E$104,"")=0,IF(N19&gt;0,ROUND(N19*90,2),0),ROUND(SUMIFS('Wage Detail Linked'!$R$5:$R$104,'Wage Detail Linked'!$B$5:$B$104,$A19,'Wage Detail Linked'!$C$5:$C$104,N$2,'Wage Detail Linked'!$E$5:$E$104,"")*N19/SUMIFS('Wage Detail Linked'!$O$5:$O$104,'Wage Detail Linked'!$B$5:$B$104,$A19,'Wage Detail Linked'!$C$5:$C$104,N$2,'Wage Detail Linked'!$E$5:$E$104,""),2))</f>
      </c>
      <c r="P19" s="16">
        <f>'Missed Shifts'!C17</f>
      </c>
      <c r="Q19" s="13">
        <f>IF('Missed Shifts'!C17=0,IF(P19&gt;0,ROUND(P19*90,2),0),ROUND('Missed Shifts'!D17*P19/'Missed Shifts'!C17,2))</f>
      </c>
      <c r="R19" s="10">
        <f>SUM(B19,D19,F19,H19,J19,L19,N19,P19)</f>
      </c>
      <c r="S19" s="5">
        <f>SUM(C19,E19,G19,I19,K19,M19,O19,Q19)</f>
      </c>
      <c r="T19" s="4">
        <v>0</v>
      </c>
      <c r="U19" s="7">
        <v>0</v>
      </c>
      <c r="V19" s="4">
        <f>MAX(0,T19-U19)</f>
      </c>
      <c r="W19" s="4">
        <v>0</v>
      </c>
      <c r="X19" s="7">
        <v>0</v>
      </c>
      <c r="Y19" s="4">
        <f>MAX(0,0-X19)</f>
      </c>
      <c r="Z19" s="4">
        <f>U19+X19</f>
      </c>
      <c r="AA19" s="13">
        <f>MAX(0,S19-Z19)</f>
      </c>
    </row>
    <row r="20">
      <c r="A20" s="1" t="inlineStr">
        <is>
          <t xml:space="preserve">Tsotlego Petrus Malakoane</t>
        </is>
      </c>
      <c r="B20" s="16">
        <f>SUMIFS('Wage Detail Linked'!$O$5:$O$104,'Wage Detail Linked'!$B$5:$B$104,$A20,'Wage Detail Linked'!$C$5:$C$104,B$2,'Wage Detail Linked'!$E$5:$E$104,"")</f>
      </c>
      <c r="C20" s="4">
        <f>IF(SUMIFS('Wage Detail Linked'!$O$5:$O$104,'Wage Detail Linked'!$B$5:$B$104,$A20,'Wage Detail Linked'!$C$5:$C$104,B$2,'Wage Detail Linked'!$E$5:$E$104,"")=0,IF(B20&gt;0,ROUND(B20*90,2),0),ROUND(SUMIFS('Wage Detail Linked'!$R$5:$R$104,'Wage Detail Linked'!$B$5:$B$104,$A20,'Wage Detail Linked'!$C$5:$C$104,B$2,'Wage Detail Linked'!$E$5:$E$104,"")*B20/SUMIFS('Wage Detail Linked'!$O$5:$O$104,'Wage Detail Linked'!$B$5:$B$104,$A20,'Wage Detail Linked'!$C$5:$C$104,B$2,'Wage Detail Linked'!$E$5:$E$104,""),2))</f>
      </c>
      <c r="D20" s="16">
        <f>SUMIFS('Wage Detail Linked'!$O$5:$O$104,'Wage Detail Linked'!$B$5:$B$104,$A20,'Wage Detail Linked'!$C$5:$C$104,D$2,'Wage Detail Linked'!$E$5:$E$104,"")</f>
      </c>
      <c r="E20" s="4">
        <f>IF(SUMIFS('Wage Detail Linked'!$O$5:$O$104,'Wage Detail Linked'!$B$5:$B$104,$A20,'Wage Detail Linked'!$C$5:$C$104,D$2,'Wage Detail Linked'!$E$5:$E$104,"")=0,IF(D20&gt;0,ROUND(D20*90,2),0),ROUND(SUMIFS('Wage Detail Linked'!$R$5:$R$104,'Wage Detail Linked'!$B$5:$B$104,$A20,'Wage Detail Linked'!$C$5:$C$104,D$2,'Wage Detail Linked'!$E$5:$E$104,"")*D20/SUMIFS('Wage Detail Linked'!$O$5:$O$104,'Wage Detail Linked'!$B$5:$B$104,$A20,'Wage Detail Linked'!$C$5:$C$104,D$2,'Wage Detail Linked'!$E$5:$E$104,""),2))</f>
      </c>
      <c r="F20" s="16">
        <f>SUMIFS('Wage Detail Linked'!$O$5:$O$104,'Wage Detail Linked'!$B$5:$B$104,$A20,'Wage Detail Linked'!$C$5:$C$104,F$2,'Wage Detail Linked'!$E$5:$E$104,"")</f>
      </c>
      <c r="G20" s="4">
        <f>IF(SUMIFS('Wage Detail Linked'!$O$5:$O$104,'Wage Detail Linked'!$B$5:$B$104,$A20,'Wage Detail Linked'!$C$5:$C$104,F$2,'Wage Detail Linked'!$E$5:$E$104,"")=0,IF(F20&gt;0,ROUND(F20*90,2),0),ROUND(SUMIFS('Wage Detail Linked'!$R$5:$R$104,'Wage Detail Linked'!$B$5:$B$104,$A20,'Wage Detail Linked'!$C$5:$C$104,F$2,'Wage Detail Linked'!$E$5:$E$104,"")*F20/SUMIFS('Wage Detail Linked'!$O$5:$O$104,'Wage Detail Linked'!$B$5:$B$104,$A20,'Wage Detail Linked'!$C$5:$C$104,F$2,'Wage Detail Linked'!$E$5:$E$104,""),2))</f>
      </c>
      <c r="H20" s="16">
        <f>SUMIFS('Wage Detail Linked'!$O$5:$O$104,'Wage Detail Linked'!$B$5:$B$104,$A20,'Wage Detail Linked'!$C$5:$C$104,H$2,'Wage Detail Linked'!$E$5:$E$104,"")</f>
      </c>
      <c r="I20" s="4">
        <f>IF(SUMIFS('Wage Detail Linked'!$O$5:$O$104,'Wage Detail Linked'!$B$5:$B$104,$A20,'Wage Detail Linked'!$C$5:$C$104,H$2,'Wage Detail Linked'!$E$5:$E$104,"")=0,IF(H20&gt;0,ROUND(H20*90,2),0),ROUND(SUMIFS('Wage Detail Linked'!$R$5:$R$104,'Wage Detail Linked'!$B$5:$B$104,$A20,'Wage Detail Linked'!$C$5:$C$104,H$2,'Wage Detail Linked'!$E$5:$E$104,"")*H20/SUMIFS('Wage Detail Linked'!$O$5:$O$104,'Wage Detail Linked'!$B$5:$B$104,$A20,'Wage Detail Linked'!$C$5:$C$104,H$2,'Wage Detail Linked'!$E$5:$E$104,""),2))</f>
      </c>
      <c r="J20" s="16">
        <f>SUMIFS('Wage Detail Linked'!$O$5:$O$104,'Wage Detail Linked'!$B$5:$B$104,$A20,'Wage Detail Linked'!$C$5:$C$104,J$2,'Wage Detail Linked'!$E$5:$E$104,"")</f>
      </c>
      <c r="K20" s="4">
        <f>IF(SUMIFS('Wage Detail Linked'!$O$5:$O$104,'Wage Detail Linked'!$B$5:$B$104,$A20,'Wage Detail Linked'!$C$5:$C$104,J$2,'Wage Detail Linked'!$E$5:$E$104,"")=0,IF(J20&gt;0,ROUND(J20*90,2),0),ROUND(SUMIFS('Wage Detail Linked'!$R$5:$R$104,'Wage Detail Linked'!$B$5:$B$104,$A20,'Wage Detail Linked'!$C$5:$C$104,J$2,'Wage Detail Linked'!$E$5:$E$104,"")*J20/SUMIFS('Wage Detail Linked'!$O$5:$O$104,'Wage Detail Linked'!$B$5:$B$104,$A20,'Wage Detail Linked'!$C$5:$C$104,J$2,'Wage Detail Linked'!$E$5:$E$104,""),2))</f>
      </c>
      <c r="L20" s="16">
        <f>SUMIFS('Wage Detail Linked'!$O$5:$O$104,'Wage Detail Linked'!$B$5:$B$104,$A20,'Wage Detail Linked'!$C$5:$C$104,L$2,'Wage Detail Linked'!$E$5:$E$104,"")</f>
      </c>
      <c r="M20" s="4">
        <f>IF(SUMIFS('Wage Detail Linked'!$O$5:$O$104,'Wage Detail Linked'!$B$5:$B$104,$A20,'Wage Detail Linked'!$C$5:$C$104,L$2,'Wage Detail Linked'!$E$5:$E$104,"")=0,IF(L20&gt;0,ROUND(L20*90,2),0),ROUND(SUMIFS('Wage Detail Linked'!$R$5:$R$104,'Wage Detail Linked'!$B$5:$B$104,$A20,'Wage Detail Linked'!$C$5:$C$104,L$2,'Wage Detail Linked'!$E$5:$E$104,"")*L20/SUMIFS('Wage Detail Linked'!$O$5:$O$104,'Wage Detail Linked'!$B$5:$B$104,$A20,'Wage Detail Linked'!$C$5:$C$104,L$2,'Wage Detail Linked'!$E$5:$E$104,""),2))</f>
      </c>
      <c r="N20" s="16">
        <f>SUMIFS('Wage Detail Linked'!$O$5:$O$104,'Wage Detail Linked'!$B$5:$B$104,$A20,'Wage Detail Linked'!$C$5:$C$104,N$2,'Wage Detail Linked'!$E$5:$E$104,"")</f>
      </c>
      <c r="O20" s="4">
        <f>IF(SUMIFS('Wage Detail Linked'!$O$5:$O$104,'Wage Detail Linked'!$B$5:$B$104,$A20,'Wage Detail Linked'!$C$5:$C$104,N$2,'Wage Detail Linked'!$E$5:$E$104,"")=0,IF(N20&gt;0,ROUND(N20*90,2),0),ROUND(SUMIFS('Wage Detail Linked'!$R$5:$R$104,'Wage Detail Linked'!$B$5:$B$104,$A20,'Wage Detail Linked'!$C$5:$C$104,N$2,'Wage Detail Linked'!$E$5:$E$104,"")*N20/SUMIFS('Wage Detail Linked'!$O$5:$O$104,'Wage Detail Linked'!$B$5:$B$104,$A20,'Wage Detail Linked'!$C$5:$C$104,N$2,'Wage Detail Linked'!$E$5:$E$104,""),2))</f>
      </c>
      <c r="P20" s="16">
        <f>0</f>
      </c>
      <c r="Q20" s="13">
        <f>IF(P20&gt;0,ROUND(P20*90,2),0)</f>
      </c>
      <c r="R20" s="10">
        <f>SUM(B20,D20,F20,H20,J20,L20,N20,P20)</f>
      </c>
      <c r="S20" s="5">
        <f>SUM(C20,E20,G20,I20,K20,M20,O20,Q20)</f>
      </c>
      <c r="T20" s="4">
        <v>0</v>
      </c>
      <c r="U20" s="7">
        <v>0</v>
      </c>
      <c r="V20" s="4">
        <f>MAX(0,T20-U20)</f>
      </c>
      <c r="W20" s="4">
        <v>0</v>
      </c>
      <c r="X20" s="7">
        <v>0</v>
      </c>
      <c r="Y20" s="4">
        <f>MAX(0,0-X20)</f>
      </c>
      <c r="Z20" s="4">
        <f>U20+X20</f>
      </c>
      <c r="AA20" s="13">
        <f>MAX(0,S20-Z20)</f>
      </c>
    </row>
    <row r="21">
      <c r="A21" s="1" t="inlineStr">
        <is>
          <t xml:space="preserve">GRAND TOTAL</t>
        </is>
      </c>
      <c r="B21" s="10">
        <f>SUM(B4:B20)</f>
      </c>
      <c r="C21" s="5">
        <f>SUM(C4:C20)</f>
      </c>
      <c r="D21" s="10">
        <f>SUM(D4:D20)</f>
      </c>
      <c r="E21" s="5">
        <f>SUM(E4:E20)</f>
      </c>
      <c r="F21" s="10">
        <f>SUM(F4:F20)</f>
      </c>
      <c r="G21" s="5">
        <f>SUM(G4:G20)</f>
      </c>
      <c r="H21" s="10">
        <f>SUM(H4:H20)</f>
      </c>
      <c r="I21" s="5">
        <f>SUM(I4:I20)</f>
      </c>
      <c r="J21" s="10">
        <f>SUM(J4:J20)</f>
      </c>
      <c r="K21" s="5">
        <f>SUM(K4:K20)</f>
      </c>
      <c r="L21" s="10">
        <f>SUM(L4:L20)</f>
      </c>
      <c r="M21" s="5">
        <f>SUM(M4:M20)</f>
      </c>
      <c r="N21" s="10">
        <f>SUM(N4:N20)</f>
      </c>
      <c r="O21" s="5">
        <f>SUM(O4:O20)</f>
      </c>
      <c r="P21" s="10">
        <f>SUM(P4:P20)</f>
      </c>
      <c r="Q21" s="5">
        <f>SUM(Q4:Q20)</f>
      </c>
      <c r="R21" s="10">
        <f>SUM(R4:R20)</f>
      </c>
      <c r="S21" s="5">
        <f>SUM(S4:S20)</f>
      </c>
      <c r="T21" s="5">
        <f>SUM(T4:T20)</f>
      </c>
      <c r="U21" s="5">
        <f>SUM(U4:U20)</f>
      </c>
      <c r="V21" s="5">
        <f>SUM(V4:V20)</f>
      </c>
      <c r="W21" s="5">
        <f>SUM(W4:W20)</f>
      </c>
      <c r="X21" s="5">
        <f>SUM(X4:X20)</f>
      </c>
      <c r="Y21" s="5">
        <f>SUM(Y4:Y20)</f>
      </c>
      <c r="Z21" s="5">
        <f>SUM(Z4:Z20)</f>
      </c>
      <c r="AA21" s="5">
        <f>SUM(AA4:AA20)</f>
      </c>
    </row>
  </sheetData>
  <mergeCells count="27">
    <mergeCell ref="A1:A3"/>
    <mergeCell ref="B1:C1"/>
    <mergeCell ref="B2:C2"/>
    <mergeCell ref="D1:E1"/>
    <mergeCell ref="D2:E2"/>
    <mergeCell ref="F1:G1"/>
    <mergeCell ref="F2:G2"/>
    <mergeCell ref="H1:I1"/>
    <mergeCell ref="H2:I2"/>
    <mergeCell ref="J1:K1"/>
    <mergeCell ref="J2:K2"/>
    <mergeCell ref="L1:M1"/>
    <mergeCell ref="L2:M2"/>
    <mergeCell ref="N1:O1"/>
    <mergeCell ref="N2:O2"/>
    <mergeCell ref="P1:Q1"/>
    <mergeCell ref="P2:Q2"/>
    <mergeCell ref="R1:R3"/>
    <mergeCell ref="S1:S3"/>
    <mergeCell ref="T1:T3"/>
    <mergeCell ref="U1:U3"/>
    <mergeCell ref="V1:V3"/>
    <mergeCell ref="W1:W3"/>
    <mergeCell ref="X1:X3"/>
    <mergeCell ref="Y1:Y3"/>
    <mergeCell ref="Z1:Z3"/>
    <mergeCell ref="AA1:AA3"/>
  </mergeCell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26" customWidth="1"/>
    <col min="2" max="2" width="10" customWidth="1"/>
    <col min="3" max="3" width="12" customWidth="1"/>
    <col min="4" max="4" width="12" customWidth="1"/>
    <col min="5" max="5" width="13" customWidth="1"/>
    <col min="6" max="6" width="13" customWidth="1"/>
    <col min="7" max="7" width="12" customWidth="1"/>
    <col min="8" max="8" width="12" customWidth="1"/>
    <col min="9" max="9" width="13" customWidth="1"/>
    <col min="10" max="10" width="13" customWidth="1"/>
    <col min="11" max="11" width="13" customWidth="1"/>
    <col min="12" max="12" width="13" customWidth="1"/>
    <col min="13" max="13" width="14" customWidth="1"/>
  </cols>
  <sheetData>
    <row r="1" ht="22" customHeight="1">
      <c r="A1" s="3" t="inlineStr">
        <is>
          <t xml:space="preserve">B&amp;W PRODUCTIONS — AUDITOR SUMMARY</t>
        </is>
      </c>
    </row>
    <row r="2" ht="30" customHeight="1">
      <c r="A2" s="11" t="inlineStr">
        <is>
          <t xml:space="preserve">Payroll week 2026-09-26 to 2026-10-02. Linked to Auditor Trail Linked; hours and wages include block 6 (Missed Shifts). No bonus columns.</t>
        </is>
      </c>
    </row>
    <row r="4" ht="30" customHeight="1">
      <c r="A4" s="2" t="inlineStr">
        <is>
          <t xml:space="preserve">Name</t>
        </is>
      </c>
      <c r="B4" s="2" t="inlineStr">
        <is>
          <t xml:space="preserve">Days Worked</t>
        </is>
      </c>
      <c r="C4" s="2" t="inlineStr">
        <is>
          <t xml:space="preserve">Hours (incl. missed)</t>
        </is>
      </c>
      <c r="D4" s="2" t="inlineStr">
        <is>
          <t xml:space="preserve">Missed Shift Hours</t>
        </is>
      </c>
      <c r="E4" s="2" t="inlineStr">
        <is>
          <t xml:space="preserve">Wages</t>
        </is>
      </c>
      <c r="F4" s="2" t="inlineStr">
        <is>
          <t xml:space="preserve">Fixed Deductions Due</t>
        </is>
      </c>
      <c r="G4" s="2" t="inlineStr">
        <is>
          <t xml:space="preserve">Fixed Deducted</t>
        </is>
      </c>
      <c r="H4" s="2" t="inlineStr">
        <is>
          <t xml:space="preserve">Fixed Outstanding</t>
        </is>
      </c>
      <c r="I4" s="2" t="inlineStr">
        <is>
          <t xml:space="preserve">Additional Loan Due</t>
        </is>
      </c>
      <c r="J4" s="2" t="inlineStr">
        <is>
          <t xml:space="preserve">Additional Loan Deducted</t>
        </is>
      </c>
      <c r="K4" s="2" t="inlineStr">
        <is>
          <t xml:space="preserve">Additional Loan Outstanding</t>
        </is>
      </c>
      <c r="L4" s="2" t="inlineStr">
        <is>
          <t xml:space="preserve">Total Deducted</t>
        </is>
      </c>
      <c r="M4" s="2" t="inlineStr">
        <is>
          <t xml:space="preserve">NET WAGE</t>
        </is>
      </c>
    </row>
    <row r="5">
      <c r="A5" s="0" t="inlineStr">
        <is>
          <t xml:space="preserve">Bhekizitha Maphosa</t>
        </is>
      </c>
      <c r="B5" s="9">
        <f>--('Auditor Trail Linked'!B4&gt;0)+--('Auditor Trail Linked'!D4&gt;0)+--('Auditor Trail Linked'!F4&gt;0)+--('Auditor Trail Linked'!H4&gt;0)+--('Auditor Trail Linked'!J4&gt;0)+--('Auditor Trail Linked'!L4&gt;0)+--('Auditor Trail Linked'!N4&gt;0)</f>
      </c>
      <c r="C5" s="9">
        <f>'Auditor Trail Linked'!R4</f>
      </c>
      <c r="D5" s="9">
        <f>'Auditor Trail Linked'!P4</f>
      </c>
      <c r="E5" s="4">
        <f>'Auditor Trail Linked'!S4</f>
      </c>
      <c r="F5" s="4">
        <f>'Auditor Trail Linked'!T4</f>
      </c>
      <c r="G5" s="4">
        <f>'Auditor Trail Linked'!U4</f>
      </c>
      <c r="H5" s="4">
        <f>'Auditor Trail Linked'!V4</f>
      </c>
      <c r="I5" s="4">
        <f>'Auditor Trail Linked'!W4</f>
      </c>
      <c r="J5" s="4">
        <f>'Auditor Trail Linked'!X4</f>
      </c>
      <c r="K5" s="4">
        <f>'Auditor Trail Linked'!Y4</f>
      </c>
      <c r="L5" s="4">
        <f>'Auditor Trail Linked'!Z4</f>
      </c>
      <c r="M5" s="13">
        <f>'Auditor Trail Linked'!AA4</f>
      </c>
    </row>
    <row r="6">
      <c r="A6" s="0" t="inlineStr">
        <is>
          <t xml:space="preserve">Brian Ndlovu</t>
        </is>
      </c>
      <c r="B6" s="9">
        <f>--('Auditor Trail Linked'!B5&gt;0)+--('Auditor Trail Linked'!D5&gt;0)+--('Auditor Trail Linked'!F5&gt;0)+--('Auditor Trail Linked'!H5&gt;0)+--('Auditor Trail Linked'!J5&gt;0)+--('Auditor Trail Linked'!L5&gt;0)+--('Auditor Trail Linked'!N5&gt;0)</f>
      </c>
      <c r="C6" s="9">
        <f>'Auditor Trail Linked'!R5</f>
      </c>
      <c r="D6" s="9">
        <f>'Auditor Trail Linked'!P5</f>
      </c>
      <c r="E6" s="4">
        <f>'Auditor Trail Linked'!S5</f>
      </c>
      <c r="F6" s="4">
        <f>'Auditor Trail Linked'!T5</f>
      </c>
      <c r="G6" s="4">
        <f>'Auditor Trail Linked'!U5</f>
      </c>
      <c r="H6" s="4">
        <f>'Auditor Trail Linked'!V5</f>
      </c>
      <c r="I6" s="4">
        <f>'Auditor Trail Linked'!W5</f>
      </c>
      <c r="J6" s="4">
        <f>'Auditor Trail Linked'!X5</f>
      </c>
      <c r="K6" s="4">
        <f>'Auditor Trail Linked'!Y5</f>
      </c>
      <c r="L6" s="4">
        <f>'Auditor Trail Linked'!Z5</f>
      </c>
      <c r="M6" s="13">
        <f>'Auditor Trail Linked'!AA5</f>
      </c>
    </row>
    <row r="7">
      <c r="A7" s="0" t="inlineStr">
        <is>
          <t xml:space="preserve">Daniel Motaung</t>
        </is>
      </c>
      <c r="B7" s="9">
        <f>--('Auditor Trail Linked'!B6&gt;0)+--('Auditor Trail Linked'!D6&gt;0)+--('Auditor Trail Linked'!F6&gt;0)+--('Auditor Trail Linked'!H6&gt;0)+--('Auditor Trail Linked'!J6&gt;0)+--('Auditor Trail Linked'!L6&gt;0)+--('Auditor Trail Linked'!N6&gt;0)</f>
      </c>
      <c r="C7" s="9">
        <f>'Auditor Trail Linked'!R6</f>
      </c>
      <c r="D7" s="9">
        <f>'Auditor Trail Linked'!P6</f>
      </c>
      <c r="E7" s="4">
        <f>'Auditor Trail Linked'!S6</f>
      </c>
      <c r="F7" s="4">
        <f>'Auditor Trail Linked'!T6</f>
      </c>
      <c r="G7" s="4">
        <f>'Auditor Trail Linked'!U6</f>
      </c>
      <c r="H7" s="4">
        <f>'Auditor Trail Linked'!V6</f>
      </c>
      <c r="I7" s="4">
        <f>'Auditor Trail Linked'!W6</f>
      </c>
      <c r="J7" s="4">
        <f>'Auditor Trail Linked'!X6</f>
      </c>
      <c r="K7" s="4">
        <f>'Auditor Trail Linked'!Y6</f>
      </c>
      <c r="L7" s="4">
        <f>'Auditor Trail Linked'!Z6</f>
      </c>
      <c r="M7" s="13">
        <f>'Auditor Trail Linked'!AA6</f>
      </c>
    </row>
    <row r="8">
      <c r="A8" s="0" t="inlineStr">
        <is>
          <t xml:space="preserve">Erence Mngomezulu</t>
        </is>
      </c>
      <c r="B8" s="9">
        <f>--('Auditor Trail Linked'!B7&gt;0)+--('Auditor Trail Linked'!D7&gt;0)+--('Auditor Trail Linked'!F7&gt;0)+--('Auditor Trail Linked'!H7&gt;0)+--('Auditor Trail Linked'!J7&gt;0)+--('Auditor Trail Linked'!L7&gt;0)+--('Auditor Trail Linked'!N7&gt;0)</f>
      </c>
      <c r="C8" s="9">
        <f>'Auditor Trail Linked'!R7</f>
      </c>
      <c r="D8" s="9">
        <f>'Auditor Trail Linked'!P7</f>
      </c>
      <c r="E8" s="4">
        <f>'Auditor Trail Linked'!S7</f>
      </c>
      <c r="F8" s="4">
        <f>'Auditor Trail Linked'!T7</f>
      </c>
      <c r="G8" s="4">
        <f>'Auditor Trail Linked'!U7</f>
      </c>
      <c r="H8" s="4">
        <f>'Auditor Trail Linked'!V7</f>
      </c>
      <c r="I8" s="4">
        <f>'Auditor Trail Linked'!W7</f>
      </c>
      <c r="J8" s="4">
        <f>'Auditor Trail Linked'!X7</f>
      </c>
      <c r="K8" s="4">
        <f>'Auditor Trail Linked'!Y7</f>
      </c>
      <c r="L8" s="4">
        <f>'Auditor Trail Linked'!Z7</f>
      </c>
      <c r="M8" s="13">
        <f>'Auditor Trail Linked'!AA7</f>
      </c>
    </row>
    <row r="9">
      <c r="A9" s="0" t="inlineStr">
        <is>
          <t xml:space="preserve">Erick Mpho Molefe</t>
        </is>
      </c>
      <c r="B9" s="9">
        <f>--('Auditor Trail Linked'!B8&gt;0)+--('Auditor Trail Linked'!D8&gt;0)+--('Auditor Trail Linked'!F8&gt;0)+--('Auditor Trail Linked'!H8&gt;0)+--('Auditor Trail Linked'!J8&gt;0)+--('Auditor Trail Linked'!L8&gt;0)+--('Auditor Trail Linked'!N8&gt;0)</f>
      </c>
      <c r="C9" s="9">
        <f>'Auditor Trail Linked'!R8</f>
      </c>
      <c r="D9" s="9">
        <f>'Auditor Trail Linked'!P8</f>
      </c>
      <c r="E9" s="4">
        <f>'Auditor Trail Linked'!S8</f>
      </c>
      <c r="F9" s="4">
        <f>'Auditor Trail Linked'!T8</f>
      </c>
      <c r="G9" s="4">
        <f>'Auditor Trail Linked'!U8</f>
      </c>
      <c r="H9" s="4">
        <f>'Auditor Trail Linked'!V8</f>
      </c>
      <c r="I9" s="4">
        <f>'Auditor Trail Linked'!W8</f>
      </c>
      <c r="J9" s="4">
        <f>'Auditor Trail Linked'!X8</f>
      </c>
      <c r="K9" s="4">
        <f>'Auditor Trail Linked'!Y8</f>
      </c>
      <c r="L9" s="4">
        <f>'Auditor Trail Linked'!Z8</f>
      </c>
      <c r="M9" s="13">
        <f>'Auditor Trail Linked'!AA8</f>
      </c>
    </row>
    <row r="10">
      <c r="A10" s="0" t="inlineStr">
        <is>
          <t xml:space="preserve">Givemore Chifetete Kuziwa</t>
        </is>
      </c>
      <c r="B10" s="9">
        <f>--('Auditor Trail Linked'!B9&gt;0)+--('Auditor Trail Linked'!D9&gt;0)+--('Auditor Trail Linked'!F9&gt;0)+--('Auditor Trail Linked'!H9&gt;0)+--('Auditor Trail Linked'!J9&gt;0)+--('Auditor Trail Linked'!L9&gt;0)+--('Auditor Trail Linked'!N9&gt;0)</f>
      </c>
      <c r="C10" s="9">
        <f>'Auditor Trail Linked'!R9</f>
      </c>
      <c r="D10" s="9">
        <f>'Auditor Trail Linked'!P9</f>
      </c>
      <c r="E10" s="4">
        <f>'Auditor Trail Linked'!S9</f>
      </c>
      <c r="F10" s="4">
        <f>'Auditor Trail Linked'!T9</f>
      </c>
      <c r="G10" s="4">
        <f>'Auditor Trail Linked'!U9</f>
      </c>
      <c r="H10" s="4">
        <f>'Auditor Trail Linked'!V9</f>
      </c>
      <c r="I10" s="4">
        <f>'Auditor Trail Linked'!W9</f>
      </c>
      <c r="J10" s="4">
        <f>'Auditor Trail Linked'!X9</f>
      </c>
      <c r="K10" s="4">
        <f>'Auditor Trail Linked'!Y9</f>
      </c>
      <c r="L10" s="4">
        <f>'Auditor Trail Linked'!Z9</f>
      </c>
      <c r="M10" s="13">
        <f>'Auditor Trail Linked'!AA9</f>
      </c>
    </row>
    <row r="11">
      <c r="A11" s="0" t="inlineStr">
        <is>
          <t xml:space="preserve">Isaac Mbele</t>
        </is>
      </c>
      <c r="B11" s="9">
        <f>--('Auditor Trail Linked'!B10&gt;0)+--('Auditor Trail Linked'!D10&gt;0)+--('Auditor Trail Linked'!F10&gt;0)+--('Auditor Trail Linked'!H10&gt;0)+--('Auditor Trail Linked'!J10&gt;0)+--('Auditor Trail Linked'!L10&gt;0)+--('Auditor Trail Linked'!N10&gt;0)</f>
      </c>
      <c r="C11" s="9">
        <f>'Auditor Trail Linked'!R10</f>
      </c>
      <c r="D11" s="9">
        <f>'Auditor Trail Linked'!P10</f>
      </c>
      <c r="E11" s="4">
        <f>'Auditor Trail Linked'!S10</f>
      </c>
      <c r="F11" s="4">
        <f>'Auditor Trail Linked'!T10</f>
      </c>
      <c r="G11" s="4">
        <f>'Auditor Trail Linked'!U10</f>
      </c>
      <c r="H11" s="4">
        <f>'Auditor Trail Linked'!V10</f>
      </c>
      <c r="I11" s="4">
        <f>'Auditor Trail Linked'!W10</f>
      </c>
      <c r="J11" s="4">
        <f>'Auditor Trail Linked'!X10</f>
      </c>
      <c r="K11" s="4">
        <f>'Auditor Trail Linked'!Y10</f>
      </c>
      <c r="L11" s="4">
        <f>'Auditor Trail Linked'!Z10</f>
      </c>
      <c r="M11" s="13">
        <f>'Auditor Trail Linked'!AA10</f>
      </c>
    </row>
    <row r="12">
      <c r="A12" s="0" t="inlineStr">
        <is>
          <t xml:space="preserve">John Simbarashe Mhlanga</t>
        </is>
      </c>
      <c r="B12" s="9">
        <f>--('Auditor Trail Linked'!B11&gt;0)+--('Auditor Trail Linked'!D11&gt;0)+--('Auditor Trail Linked'!F11&gt;0)+--('Auditor Trail Linked'!H11&gt;0)+--('Auditor Trail Linked'!J11&gt;0)+--('Auditor Trail Linked'!L11&gt;0)+--('Auditor Trail Linked'!N11&gt;0)</f>
      </c>
      <c r="C12" s="9">
        <f>'Auditor Trail Linked'!R11</f>
      </c>
      <c r="D12" s="9">
        <f>'Auditor Trail Linked'!P11</f>
      </c>
      <c r="E12" s="4">
        <f>'Auditor Trail Linked'!S11</f>
      </c>
      <c r="F12" s="4">
        <f>'Auditor Trail Linked'!T11</f>
      </c>
      <c r="G12" s="4">
        <f>'Auditor Trail Linked'!U11</f>
      </c>
      <c r="H12" s="4">
        <f>'Auditor Trail Linked'!V11</f>
      </c>
      <c r="I12" s="4">
        <f>'Auditor Trail Linked'!W11</f>
      </c>
      <c r="J12" s="4">
        <f>'Auditor Trail Linked'!X11</f>
      </c>
      <c r="K12" s="4">
        <f>'Auditor Trail Linked'!Y11</f>
      </c>
      <c r="L12" s="4">
        <f>'Auditor Trail Linked'!Z11</f>
      </c>
      <c r="M12" s="13">
        <f>'Auditor Trail Linked'!AA11</f>
      </c>
    </row>
    <row r="13">
      <c r="A13" s="0" t="inlineStr">
        <is>
          <t xml:space="preserve">Joshua Motsamai Nteo</t>
        </is>
      </c>
      <c r="B13" s="9">
        <f>--('Auditor Trail Linked'!B12&gt;0)+--('Auditor Trail Linked'!D12&gt;0)+--('Auditor Trail Linked'!F12&gt;0)+--('Auditor Trail Linked'!H12&gt;0)+--('Auditor Trail Linked'!J12&gt;0)+--('Auditor Trail Linked'!L12&gt;0)+--('Auditor Trail Linked'!N12&gt;0)</f>
      </c>
      <c r="C13" s="9">
        <f>'Auditor Trail Linked'!R12</f>
      </c>
      <c r="D13" s="9">
        <f>'Auditor Trail Linked'!P12</f>
      </c>
      <c r="E13" s="4">
        <f>'Auditor Trail Linked'!S12</f>
      </c>
      <c r="F13" s="4">
        <f>'Auditor Trail Linked'!T12</f>
      </c>
      <c r="G13" s="4">
        <f>'Auditor Trail Linked'!U12</f>
      </c>
      <c r="H13" s="4">
        <f>'Auditor Trail Linked'!V12</f>
      </c>
      <c r="I13" s="4">
        <f>'Auditor Trail Linked'!W12</f>
      </c>
      <c r="J13" s="4">
        <f>'Auditor Trail Linked'!X12</f>
      </c>
      <c r="K13" s="4">
        <f>'Auditor Trail Linked'!Y12</f>
      </c>
      <c r="L13" s="4">
        <f>'Auditor Trail Linked'!Z12</f>
      </c>
      <c r="M13" s="13">
        <f>'Auditor Trail Linked'!AA12</f>
      </c>
    </row>
    <row r="14">
      <c r="A14" s="0" t="inlineStr">
        <is>
          <t xml:space="preserve">Lebo Lebo</t>
        </is>
      </c>
      <c r="B14" s="9">
        <f>--('Auditor Trail Linked'!B13&gt;0)+--('Auditor Trail Linked'!D13&gt;0)+--('Auditor Trail Linked'!F13&gt;0)+--('Auditor Trail Linked'!H13&gt;0)+--('Auditor Trail Linked'!J13&gt;0)+--('Auditor Trail Linked'!L13&gt;0)+--('Auditor Trail Linked'!N13&gt;0)</f>
      </c>
      <c r="C14" s="9">
        <f>'Auditor Trail Linked'!R13</f>
      </c>
      <c r="D14" s="9">
        <f>'Auditor Trail Linked'!P13</f>
      </c>
      <c r="E14" s="4">
        <f>'Auditor Trail Linked'!S13</f>
      </c>
      <c r="F14" s="4">
        <f>'Auditor Trail Linked'!T13</f>
      </c>
      <c r="G14" s="4">
        <f>'Auditor Trail Linked'!U13</f>
      </c>
      <c r="H14" s="4">
        <f>'Auditor Trail Linked'!V13</f>
      </c>
      <c r="I14" s="4">
        <f>'Auditor Trail Linked'!W13</f>
      </c>
      <c r="J14" s="4">
        <f>'Auditor Trail Linked'!X13</f>
      </c>
      <c r="K14" s="4">
        <f>'Auditor Trail Linked'!Y13</f>
      </c>
      <c r="L14" s="4">
        <f>'Auditor Trail Linked'!Z13</f>
      </c>
      <c r="M14" s="13">
        <f>'Auditor Trail Linked'!AA13</f>
      </c>
    </row>
    <row r="15">
      <c r="A15" s="0" t="inlineStr">
        <is>
          <t xml:space="preserve">Patrick Ngozo</t>
        </is>
      </c>
      <c r="B15" s="9">
        <f>--('Auditor Trail Linked'!B14&gt;0)+--('Auditor Trail Linked'!D14&gt;0)+--('Auditor Trail Linked'!F14&gt;0)+--('Auditor Trail Linked'!H14&gt;0)+--('Auditor Trail Linked'!J14&gt;0)+--('Auditor Trail Linked'!L14&gt;0)+--('Auditor Trail Linked'!N14&gt;0)</f>
      </c>
      <c r="C15" s="9">
        <f>'Auditor Trail Linked'!R14</f>
      </c>
      <c r="D15" s="9">
        <f>'Auditor Trail Linked'!P14</f>
      </c>
      <c r="E15" s="4">
        <f>'Auditor Trail Linked'!S14</f>
      </c>
      <c r="F15" s="4">
        <f>'Auditor Trail Linked'!T14</f>
      </c>
      <c r="G15" s="4">
        <f>'Auditor Trail Linked'!U14</f>
      </c>
      <c r="H15" s="4">
        <f>'Auditor Trail Linked'!V14</f>
      </c>
      <c r="I15" s="4">
        <f>'Auditor Trail Linked'!W14</f>
      </c>
      <c r="J15" s="4">
        <f>'Auditor Trail Linked'!X14</f>
      </c>
      <c r="K15" s="4">
        <f>'Auditor Trail Linked'!Y14</f>
      </c>
      <c r="L15" s="4">
        <f>'Auditor Trail Linked'!Z14</f>
      </c>
      <c r="M15" s="13">
        <f>'Auditor Trail Linked'!AA14</f>
      </c>
    </row>
    <row r="16">
      <c r="A16" s="0" t="inlineStr">
        <is>
          <t xml:space="preserve">Sharleen Ndlovu</t>
        </is>
      </c>
      <c r="B16" s="9">
        <f>--('Auditor Trail Linked'!B15&gt;0)+--('Auditor Trail Linked'!D15&gt;0)+--('Auditor Trail Linked'!F15&gt;0)+--('Auditor Trail Linked'!H15&gt;0)+--('Auditor Trail Linked'!J15&gt;0)+--('Auditor Trail Linked'!L15&gt;0)+--('Auditor Trail Linked'!N15&gt;0)</f>
      </c>
      <c r="C16" s="9">
        <f>'Auditor Trail Linked'!R15</f>
      </c>
      <c r="D16" s="9">
        <f>'Auditor Trail Linked'!P15</f>
      </c>
      <c r="E16" s="4">
        <f>'Auditor Trail Linked'!S15</f>
      </c>
      <c r="F16" s="4">
        <f>'Auditor Trail Linked'!T15</f>
      </c>
      <c r="G16" s="4">
        <f>'Auditor Trail Linked'!U15</f>
      </c>
      <c r="H16" s="4">
        <f>'Auditor Trail Linked'!V15</f>
      </c>
      <c r="I16" s="4">
        <f>'Auditor Trail Linked'!W15</f>
      </c>
      <c r="J16" s="4">
        <f>'Auditor Trail Linked'!X15</f>
      </c>
      <c r="K16" s="4">
        <f>'Auditor Trail Linked'!Y15</f>
      </c>
      <c r="L16" s="4">
        <f>'Auditor Trail Linked'!Z15</f>
      </c>
      <c r="M16" s="13">
        <f>'Auditor Trail Linked'!AA15</f>
      </c>
    </row>
    <row r="17">
      <c r="A17" s="0" t="inlineStr">
        <is>
          <t xml:space="preserve">Solomon Moyo</t>
        </is>
      </c>
      <c r="B17" s="9">
        <f>--('Auditor Trail Linked'!B16&gt;0)+--('Auditor Trail Linked'!D16&gt;0)+--('Auditor Trail Linked'!F16&gt;0)+--('Auditor Trail Linked'!H16&gt;0)+--('Auditor Trail Linked'!J16&gt;0)+--('Auditor Trail Linked'!L16&gt;0)+--('Auditor Trail Linked'!N16&gt;0)</f>
      </c>
      <c r="C17" s="9">
        <f>'Auditor Trail Linked'!R16</f>
      </c>
      <c r="D17" s="9">
        <f>'Auditor Trail Linked'!P16</f>
      </c>
      <c r="E17" s="4">
        <f>'Auditor Trail Linked'!S16</f>
      </c>
      <c r="F17" s="4">
        <f>'Auditor Trail Linked'!T16</f>
      </c>
      <c r="G17" s="4">
        <f>'Auditor Trail Linked'!U16</f>
      </c>
      <c r="H17" s="4">
        <f>'Auditor Trail Linked'!V16</f>
      </c>
      <c r="I17" s="4">
        <f>'Auditor Trail Linked'!W16</f>
      </c>
      <c r="J17" s="4">
        <f>'Auditor Trail Linked'!X16</f>
      </c>
      <c r="K17" s="4">
        <f>'Auditor Trail Linked'!Y16</f>
      </c>
      <c r="L17" s="4">
        <f>'Auditor Trail Linked'!Z16</f>
      </c>
      <c r="M17" s="13">
        <f>'Auditor Trail Linked'!AA16</f>
      </c>
    </row>
    <row r="18">
      <c r="A18" s="0" t="inlineStr">
        <is>
          <t xml:space="preserve">Takavaudza Chokuda</t>
        </is>
      </c>
      <c r="B18" s="9">
        <f>--('Auditor Trail Linked'!B17&gt;0)+--('Auditor Trail Linked'!D17&gt;0)+--('Auditor Trail Linked'!F17&gt;0)+--('Auditor Trail Linked'!H17&gt;0)+--('Auditor Trail Linked'!J17&gt;0)+--('Auditor Trail Linked'!L17&gt;0)+--('Auditor Trail Linked'!N17&gt;0)</f>
      </c>
      <c r="C18" s="9">
        <f>'Auditor Trail Linked'!R17</f>
      </c>
      <c r="D18" s="9">
        <f>'Auditor Trail Linked'!P17</f>
      </c>
      <c r="E18" s="4">
        <f>'Auditor Trail Linked'!S17</f>
      </c>
      <c r="F18" s="4">
        <f>'Auditor Trail Linked'!T17</f>
      </c>
      <c r="G18" s="4">
        <f>'Auditor Trail Linked'!U17</f>
      </c>
      <c r="H18" s="4">
        <f>'Auditor Trail Linked'!V17</f>
      </c>
      <c r="I18" s="4">
        <f>'Auditor Trail Linked'!W17</f>
      </c>
      <c r="J18" s="4">
        <f>'Auditor Trail Linked'!X17</f>
      </c>
      <c r="K18" s="4">
        <f>'Auditor Trail Linked'!Y17</f>
      </c>
      <c r="L18" s="4">
        <f>'Auditor Trail Linked'!Z17</f>
      </c>
      <c r="M18" s="13">
        <f>'Auditor Trail Linked'!AA17</f>
      </c>
    </row>
    <row r="19">
      <c r="A19" s="0" t="inlineStr">
        <is>
          <t xml:space="preserve">Thandanani Nkala</t>
        </is>
      </c>
      <c r="B19" s="9">
        <f>--('Auditor Trail Linked'!B18&gt;0)+--('Auditor Trail Linked'!D18&gt;0)+--('Auditor Trail Linked'!F18&gt;0)+--('Auditor Trail Linked'!H18&gt;0)+--('Auditor Trail Linked'!J18&gt;0)+--('Auditor Trail Linked'!L18&gt;0)+--('Auditor Trail Linked'!N18&gt;0)</f>
      </c>
      <c r="C19" s="9">
        <f>'Auditor Trail Linked'!R18</f>
      </c>
      <c r="D19" s="9">
        <f>'Auditor Trail Linked'!P18</f>
      </c>
      <c r="E19" s="4">
        <f>'Auditor Trail Linked'!S18</f>
      </c>
      <c r="F19" s="4">
        <f>'Auditor Trail Linked'!T18</f>
      </c>
      <c r="G19" s="4">
        <f>'Auditor Trail Linked'!U18</f>
      </c>
      <c r="H19" s="4">
        <f>'Auditor Trail Linked'!V18</f>
      </c>
      <c r="I19" s="4">
        <f>'Auditor Trail Linked'!W18</f>
      </c>
      <c r="J19" s="4">
        <f>'Auditor Trail Linked'!X18</f>
      </c>
      <c r="K19" s="4">
        <f>'Auditor Trail Linked'!Y18</f>
      </c>
      <c r="L19" s="4">
        <f>'Auditor Trail Linked'!Z18</f>
      </c>
      <c r="M19" s="13">
        <f>'Auditor Trail Linked'!AA18</f>
      </c>
    </row>
    <row r="20">
      <c r="A20" s="0" t="inlineStr">
        <is>
          <t xml:space="preserve">Thina Dyani</t>
        </is>
      </c>
      <c r="B20" s="9">
        <f>--('Auditor Trail Linked'!B19&gt;0)+--('Auditor Trail Linked'!D19&gt;0)+--('Auditor Trail Linked'!F19&gt;0)+--('Auditor Trail Linked'!H19&gt;0)+--('Auditor Trail Linked'!J19&gt;0)+--('Auditor Trail Linked'!L19&gt;0)+--('Auditor Trail Linked'!N19&gt;0)</f>
      </c>
      <c r="C20" s="9">
        <f>'Auditor Trail Linked'!R19</f>
      </c>
      <c r="D20" s="9">
        <f>'Auditor Trail Linked'!P19</f>
      </c>
      <c r="E20" s="4">
        <f>'Auditor Trail Linked'!S19</f>
      </c>
      <c r="F20" s="4">
        <f>'Auditor Trail Linked'!T19</f>
      </c>
      <c r="G20" s="4">
        <f>'Auditor Trail Linked'!U19</f>
      </c>
      <c r="H20" s="4">
        <f>'Auditor Trail Linked'!V19</f>
      </c>
      <c r="I20" s="4">
        <f>'Auditor Trail Linked'!W19</f>
      </c>
      <c r="J20" s="4">
        <f>'Auditor Trail Linked'!X19</f>
      </c>
      <c r="K20" s="4">
        <f>'Auditor Trail Linked'!Y19</f>
      </c>
      <c r="L20" s="4">
        <f>'Auditor Trail Linked'!Z19</f>
      </c>
      <c r="M20" s="13">
        <f>'Auditor Trail Linked'!AA19</f>
      </c>
    </row>
    <row r="21">
      <c r="A21" s="0" t="inlineStr">
        <is>
          <t xml:space="preserve">Tsotlego Petrus Malakoane</t>
        </is>
      </c>
      <c r="B21" s="9">
        <f>--('Auditor Trail Linked'!B20&gt;0)+--('Auditor Trail Linked'!D20&gt;0)+--('Auditor Trail Linked'!F20&gt;0)+--('Auditor Trail Linked'!H20&gt;0)+--('Auditor Trail Linked'!J20&gt;0)+--('Auditor Trail Linked'!L20&gt;0)+--('Auditor Trail Linked'!N20&gt;0)</f>
      </c>
      <c r="C21" s="9">
        <f>'Auditor Trail Linked'!R20</f>
      </c>
      <c r="D21" s="9">
        <f>'Auditor Trail Linked'!P20</f>
      </c>
      <c r="E21" s="4">
        <f>'Auditor Trail Linked'!S20</f>
      </c>
      <c r="F21" s="4">
        <f>'Auditor Trail Linked'!T20</f>
      </c>
      <c r="G21" s="4">
        <f>'Auditor Trail Linked'!U20</f>
      </c>
      <c r="H21" s="4">
        <f>'Auditor Trail Linked'!V20</f>
      </c>
      <c r="I21" s="4">
        <f>'Auditor Trail Linked'!W20</f>
      </c>
      <c r="J21" s="4">
        <f>'Auditor Trail Linked'!X20</f>
      </c>
      <c r="K21" s="4">
        <f>'Auditor Trail Linked'!Y20</f>
      </c>
      <c r="L21" s="4">
        <f>'Auditor Trail Linked'!Z20</f>
      </c>
      <c r="M21" s="13">
        <f>'Auditor Trail Linked'!AA20</f>
      </c>
    </row>
    <row r="22">
      <c r="A22" s="1" t="inlineStr">
        <is>
          <t xml:space="preserve">GRAND TOTAL</t>
        </is>
      </c>
      <c r="B22" s="10">
        <f>SUM(B5:B21)</f>
      </c>
      <c r="C22" s="10">
        <f>SUM(C5:C21)</f>
      </c>
      <c r="D22" s="10">
        <f>SUM(D5:D21)</f>
      </c>
      <c r="E22" s="5">
        <f>SUM(E5:E21)</f>
      </c>
      <c r="F22" s="5">
        <f>SUM(F5:F21)</f>
      </c>
      <c r="G22" s="5">
        <f>SUM(G5:G21)</f>
      </c>
      <c r="H22" s="5">
        <f>SUM(H5:H21)</f>
      </c>
      <c r="I22" s="5">
        <f>SUM(I5:I21)</f>
      </c>
      <c r="J22" s="5">
        <f>SUM(J5:J21)</f>
      </c>
      <c r="K22" s="5">
        <f>SUM(K5:K21)</f>
      </c>
      <c r="L22" s="5">
        <f>SUM(L5:L21)</f>
      </c>
      <c r="M22" s="5">
        <f>SUM(M5:M21)</f>
      </c>
    </row>
  </sheetData>
  <mergeCells count="2">
    <mergeCell ref="A1:M1"/>
    <mergeCell ref="A2:M2"/>
  </mergeCell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10" customWidth="1"/>
    <col min="2" max="2" width="8" customWidth="1"/>
    <col min="3" max="3" width="24" customWidth="1"/>
    <col min="4" max="4" width="11" customWidth="1"/>
    <col min="5" max="5" width="30" customWidth="1"/>
    <col min="6" max="6" width="26" customWidth="1"/>
    <col min="7" max="7" width="70" customWidth="1"/>
    <col min="8" max="8" width="11" customWidth="1"/>
    <col min="9" max="9" width="9" customWidth="1"/>
    <col min="10" max="10" width="9" customWidth="1"/>
    <col min="11" max="11" width="18" customWidth="1"/>
    <col min="12" max="12" width="16" customWidth="1"/>
    <col min="13" max="13" width="17" customWidth="1"/>
    <col min="14" max="14" width="70" customWidth="1"/>
  </cols>
  <sheetData>
    <row r="1" ht="22" customHeight="1">
      <c r="A1" s="3" t="inlineStr">
        <is>
          <t xml:space="preserve">B&amp;W PRODUCTIONS — FLAGGED / REVIEWED</t>
        </is>
      </c>
    </row>
    <row r="2" ht="30" customHeight="1">
      <c r="A2" s="11" t="inlineStr">
        <is>
          <t xml:space="preserve">Payroll week 2026-09-26 to 2026-10-02. Every review on a paid shift in this payroll: what the system flagged, and the office decision (name, time, reason). OPEN items first.</t>
        </is>
      </c>
    </row>
    <row r="4" ht="30" customHeight="1">
      <c r="A4" s="2" t="inlineStr">
        <is>
          <t xml:space="preserve">Status</t>
        </is>
      </c>
      <c r="B4" s="2" t="inlineStr">
        <is>
          <t xml:space="preserve">Review #</t>
        </is>
      </c>
      <c r="C4" s="2" t="inlineStr">
        <is>
          <t xml:space="preserve">Employee</t>
        </is>
      </c>
      <c r="D4" s="2" t="inlineStr">
        <is>
          <t xml:space="preserve">Date</t>
        </is>
      </c>
      <c r="E4" s="2" t="inlineStr">
        <is>
          <t xml:space="preserve">Shift</t>
        </is>
      </c>
      <c r="F4" s="2" t="inlineStr">
        <is>
          <t xml:space="preserve">Flag</t>
        </is>
      </c>
      <c r="G4" s="2" t="inlineStr">
        <is>
          <t xml:space="preserve">System note</t>
        </is>
      </c>
      <c r="H4" s="2" t="inlineStr">
        <is>
          <t xml:space="preserve">System recommended hours</t>
        </is>
      </c>
      <c r="I4" s="2" t="inlineStr">
        <is>
          <t xml:space="preserve">Claimed hours</t>
        </is>
      </c>
      <c r="J4" s="2" t="inlineStr">
        <is>
          <t xml:space="preserve">Approved hours</t>
        </is>
      </c>
      <c r="K4" s="2" t="inlineStr">
        <is>
          <t xml:space="preserve">Decision</t>
        </is>
      </c>
      <c r="L4" s="2" t="inlineStr">
        <is>
          <t xml:space="preserve">Decided by</t>
        </is>
      </c>
      <c r="M4" s="2" t="inlineStr">
        <is>
          <t xml:space="preserve">Decided at</t>
        </is>
      </c>
      <c r="N4" s="2" t="inlineStr">
        <is>
          <t xml:space="preserve">Reason recorded</t>
        </is>
      </c>
    </row>
    <row r="5">
      <c r="A5" s="17" t="inlineStr">
        <is>
          <t xml:space="preserve">RESOLVED</t>
        </is>
      </c>
      <c r="B5" s="17">
        <v>10246</v>
      </c>
      <c r="C5" s="17" t="inlineStr">
        <is>
          <t xml:space="preserve">Bhekizitha Maphosa</t>
        </is>
      </c>
      <c r="D5" s="17" t="inlineStr">
        <is>
          <t xml:space="preserve">2026-09-29</t>
        </is>
      </c>
      <c r="E5" s="17" t="inlineStr">
        <is>
          <t xml:space="preserve">07:00–16:00 Warehouse</t>
        </is>
      </c>
      <c r="F5" s="17" t="inlineStr">
        <is>
          <t xml:space="preserve">Rate choice: Warehouse or Event/Venue</t>
        </is>
      </c>
      <c r="G5" s="17" t="inlineStr">
        <is>
          <t xml:space="preserve">RATE CHOICE NEEDED: the wording mentions "warehouse" but the work type is Normal, so it is not clearly warehouse-only. Bernie must choose Warehouse (R81,25/h, Sunday R97,50, meeting time unpaid) or Venue/Event (R95/h, Sunday R114) before the rate is decided. Until then the shift stays at the engine amount.</t>
        </is>
      </c>
      <c r="H5" s="17"/>
      <c r="I5" s="18">
        <v>9</v>
      </c>
      <c r="J5" s="17"/>
      <c r="K5" s="17" t="inlineStr">
        <is>
          <t xml:space="preserve">approve original</t>
        </is>
      </c>
      <c r="L5" s="17" t="inlineStr">
        <is>
          <t xml:space="preserve">Bernie Burness</t>
        </is>
      </c>
      <c r="M5" s="17" t="inlineStr">
        <is>
          <t xml:space="preserve">2026-09-30 02:53:05</t>
        </is>
      </c>
      <c r="N5" s="17" t="inlineStr">
        <is>
          <t xml:space="preserve">Warehouse rate chosen — shift #9913 R750,00 → R690,63 (Warehouse: 9 h − 0.5 h staff meeting 07:00–07:30 (unpaid, R40,63) = 8.5 h × R81,25)</t>
        </is>
      </c>
    </row>
    <row r="6">
      <c r="A6" s="20" t="inlineStr">
        <is>
          <t xml:space="preserve">RESOLVED</t>
        </is>
      </c>
      <c r="B6" s="20">
        <v>10221</v>
      </c>
      <c r="C6" s="20" t="inlineStr">
        <is>
          <t xml:space="preserve">Daniel Motaung</t>
        </is>
      </c>
      <c r="D6" s="20" t="inlineStr">
        <is>
          <t xml:space="preserve">2026-09-29</t>
        </is>
      </c>
      <c r="E6" s="20" t="inlineStr">
        <is>
          <t xml:space="preserve">07:00–16:00 Warehouse</t>
        </is>
      </c>
      <c r="F6" s="20" t="inlineStr">
        <is>
          <t xml:space="preserve">Rate choice: Warehouse or Event/Venue</t>
        </is>
      </c>
      <c r="G6" s="20" t="inlineStr">
        <is>
          <t xml:space="preserve">RATE CHOICE NEEDED: the wording mentions "warehouse" but the work type is Normal, so it is not clearly warehouse-only. Bernie must choose Warehouse (R81,25/h, Sunday R97,50, meeting time unpaid) or Venue/Event (R95/h, Sunday R114) before the rate is decided. Until then the shift stays at the engine amount.</t>
        </is>
      </c>
      <c r="H6" s="20"/>
      <c r="I6" s="21">
        <v>9</v>
      </c>
      <c r="J6" s="20"/>
      <c r="K6" s="20" t="inlineStr">
        <is>
          <t xml:space="preserve">approve original</t>
        </is>
      </c>
      <c r="L6" s="20" t="inlineStr">
        <is>
          <t xml:space="preserve">Bernie Burness</t>
        </is>
      </c>
      <c r="M6" s="20" t="inlineStr">
        <is>
          <t xml:space="preserve">2026-09-29 16:33:06</t>
        </is>
      </c>
      <c r="N6" s="20" t="inlineStr">
        <is>
          <t xml:space="preserve">Warehouse rate chosen — shift #9895 R750,00 → R690,63 (Warehouse: 9 h − 0.5 h staff meeting 07:00–07:30 (unpaid, R40,63) = 8.5 h × R81,25)</t>
        </is>
      </c>
    </row>
    <row r="7">
      <c r="A7" s="23" t="inlineStr">
        <is>
          <t xml:space="preserve">RESOLVED</t>
        </is>
      </c>
      <c r="B7" s="23">
        <v>10206</v>
      </c>
      <c r="C7" s="23" t="inlineStr">
        <is>
          <t xml:space="preserve">Erence Mngomezulu</t>
        </is>
      </c>
      <c r="D7" s="23" t="inlineStr">
        <is>
          <t xml:space="preserve">2026-09-29</t>
        </is>
      </c>
      <c r="E7" s="23" t="inlineStr">
        <is>
          <t xml:space="preserve">07:00–16:00 Warehouse</t>
        </is>
      </c>
      <c r="F7" s="23" t="inlineStr">
        <is>
          <t xml:space="preserve">Rate choice: Warehouse or Event/Venue</t>
        </is>
      </c>
      <c r="G7" s="23" t="inlineStr">
        <is>
          <t xml:space="preserve">RATE CHOICE NEEDED: the wording mentions "warehouse" but the work type is Normal, so it is not clearly warehouse-only. Bernie must choose Warehouse (R81,25/h, Sunday R97,50, meeting time unpaid) or Venue/Event (R95/h, Sunday R114) before the rate is decided. Until then the shift stays at the engine amount.</t>
        </is>
      </c>
      <c r="H7" s="23"/>
      <c r="I7" s="24">
        <v>9</v>
      </c>
      <c r="J7" s="23"/>
      <c r="K7" s="23" t="inlineStr">
        <is>
          <t xml:space="preserve">approve original</t>
        </is>
      </c>
      <c r="L7" s="23" t="inlineStr">
        <is>
          <t xml:space="preserve">Bernie Burness</t>
        </is>
      </c>
      <c r="M7" s="23" t="inlineStr">
        <is>
          <t xml:space="preserve">2026-09-29 16:33:13</t>
        </is>
      </c>
      <c r="N7" s="23" t="inlineStr">
        <is>
          <t xml:space="preserve">Warehouse rate chosen — shift #9883 R750,00 → R690,63 (Warehouse: 9 h − 0.5 h staff meeting 07:00–07:30 (unpaid, R40,63) = 8.5 h × R81,25)</t>
        </is>
      </c>
    </row>
    <row r="8">
      <c r="A8" s="26" t="inlineStr">
        <is>
          <t xml:space="preserve">RESOLVED</t>
        </is>
      </c>
      <c r="B8" s="26">
        <v>10307</v>
      </c>
      <c r="C8" s="26" t="inlineStr">
        <is>
          <t xml:space="preserve">Isaac Mbele</t>
        </is>
      </c>
      <c r="D8" s="26" t="inlineStr">
        <is>
          <t xml:space="preserve">2026-09-26</t>
        </is>
      </c>
      <c r="E8" s="26" t="inlineStr">
        <is>
          <t xml:space="preserve">07:00–13:00 Warehouse</t>
        </is>
      </c>
      <c r="F8" s="26" t="inlineStr">
        <is>
          <t xml:space="preserve">Rate choice: Warehouse or Event/Venue</t>
        </is>
      </c>
      <c r="G8" s="26" t="inlineStr">
        <is>
          <t xml:space="preserve">RATE CHOICE NEEDED: the wording mentions "warehouse" but the work type is Normal, so it is not clearly warehouse-only. Bernie must choose Warehouse (R81,25/h, Sunday R97,50, meeting time unpaid) or Venue/Event (R95/h, Sunday R114) before the rate is decided. Until then the shift stays at the engine amount.</t>
        </is>
      </c>
      <c r="H8" s="26"/>
      <c r="I8" s="27">
        <v>6</v>
      </c>
      <c r="J8" s="26"/>
      <c r="K8" s="26" t="inlineStr">
        <is>
          <t xml:space="preserve">approve adjusted</t>
        </is>
      </c>
      <c r="L8" s="26" t="inlineStr">
        <is>
          <t xml:space="preserve">Bernie Burness (via assistant)</t>
        </is>
      </c>
      <c r="M8" s="26" t="inlineStr">
        <is>
          <t xml:space="preserve">2026-09-30 07:34:12</t>
        </is>
      </c>
      <c r="N8" s="26" t="inlineStr">
        <is>
          <t xml:space="preserve">Owner 30 Sep 2026: rate set by team/date rule (Sunbet set-up = event; same team same day = same rate). See row note.</t>
        </is>
      </c>
    </row>
    <row r="9">
      <c r="A9" s="26" t="inlineStr">
        <is>
          <t xml:space="preserve">RESOLVED</t>
        </is>
      </c>
      <c r="B9" s="26">
        <v>10309</v>
      </c>
      <c r="C9" s="26" t="inlineStr">
        <is>
          <t xml:space="preserve">Isaac Mbele</t>
        </is>
      </c>
      <c r="D9" s="26" t="inlineStr">
        <is>
          <t xml:space="preserve">2026-09-28</t>
        </is>
      </c>
      <c r="E9" s="26" t="inlineStr">
        <is>
          <t xml:space="preserve">07:00–16:00 Warehouse</t>
        </is>
      </c>
      <c r="F9" s="26" t="inlineStr">
        <is>
          <t xml:space="preserve">Rate choice: Warehouse or Event/Venue</t>
        </is>
      </c>
      <c r="G9" s="26" t="inlineStr">
        <is>
          <t xml:space="preserve">RATE CHOICE NEEDED: the wording mentions "warehouse" but the work type is Normal, so it is not clearly warehouse-only. Bernie must choose Warehouse (R81,25/h, Sunday R97,50, meeting time unpaid) or Venue/Event (R95/h, Sunday R114) before the rate is decided. Until then the shift stays at the engine amount.</t>
        </is>
      </c>
      <c r="H9" s="26"/>
      <c r="I9" s="27">
        <v>9</v>
      </c>
      <c r="J9" s="26"/>
      <c r="K9" s="26" t="inlineStr">
        <is>
          <t xml:space="preserve">approve adjusted</t>
        </is>
      </c>
      <c r="L9" s="26" t="inlineStr">
        <is>
          <t xml:space="preserve">Bernie Burness (via assistant)</t>
        </is>
      </c>
      <c r="M9" s="26" t="inlineStr">
        <is>
          <t xml:space="preserve">2026-09-30 07:34:12</t>
        </is>
      </c>
      <c r="N9" s="26" t="inlineStr">
        <is>
          <t xml:space="preserve">Owner 30 Sep 2026: rate set by team/date rule (Sunbet set-up = event; same team same day = same rate). See row note.</t>
        </is>
      </c>
    </row>
    <row r="10">
      <c r="A10" s="26" t="inlineStr">
        <is>
          <t xml:space="preserve">RESOLVED</t>
        </is>
      </c>
      <c r="B10" s="26">
        <v>10311</v>
      </c>
      <c r="C10" s="26" t="inlineStr">
        <is>
          <t xml:space="preserve">Isaac Mbele</t>
        </is>
      </c>
      <c r="D10" s="26" t="inlineStr">
        <is>
          <t xml:space="preserve">2026-09-29</t>
        </is>
      </c>
      <c r="E10" s="26" t="inlineStr">
        <is>
          <t xml:space="preserve">07:00–16:00 Warehouse</t>
        </is>
      </c>
      <c r="F10" s="26" t="inlineStr">
        <is>
          <t xml:space="preserve">Rate choice: Warehouse or Event/Venue</t>
        </is>
      </c>
      <c r="G10" s="26" t="inlineStr">
        <is>
          <t xml:space="preserve">RATE CHOICE NEEDED: the wording mentions "warehouse" but the work type is Normal, so it is not clearly warehouse-only. Bernie must choose Warehouse (R81,25/h, Sunday R97,50, meeting time unpaid) or Venue/Event (R95/h, Sunday R114) before the rate is decided. Until then the shift stays at the engine amount.</t>
        </is>
      </c>
      <c r="H10" s="26"/>
      <c r="I10" s="27">
        <v>9</v>
      </c>
      <c r="J10" s="26"/>
      <c r="K10" s="26" t="inlineStr">
        <is>
          <t xml:space="preserve">approve adjusted</t>
        </is>
      </c>
      <c r="L10" s="26" t="inlineStr">
        <is>
          <t xml:space="preserve">Bernie Burness (via assistant)</t>
        </is>
      </c>
      <c r="M10" s="26" t="inlineStr">
        <is>
          <t xml:space="preserve">2026-09-30 07:34:12</t>
        </is>
      </c>
      <c r="N10" s="26" t="inlineStr">
        <is>
          <t xml:space="preserve">Owner 30 Sep 2026: rate set by team/date rule (Sunbet set-up = event; same team same day = same rate). See row note.</t>
        </is>
      </c>
    </row>
    <row r="11">
      <c r="A11" s="29" t="inlineStr">
        <is>
          <t xml:space="preserve">RESOLVED</t>
        </is>
      </c>
      <c r="B11" s="29">
        <v>10215</v>
      </c>
      <c r="C11" s="29" t="inlineStr">
        <is>
          <t xml:space="preserve">John Simbarashe Mhlanga</t>
        </is>
      </c>
      <c r="D11" s="29" t="inlineStr">
        <is>
          <t xml:space="preserve">2026-09-19</t>
        </is>
      </c>
      <c r="E11" s="29" t="inlineStr">
        <is>
          <t xml:space="preserve">07:00–11:00 Warehouse</t>
        </is>
      </c>
      <c r="F11" s="29" t="inlineStr">
        <is>
          <t xml:space="preserve">Rate choice: Warehouse or Event/Venue</t>
        </is>
      </c>
      <c r="G11" s="29" t="inlineStr">
        <is>
          <t xml:space="preserve">RATE CHOICE NEEDED: the wording mentions "warehouse" but the work type is Normal, so it is not clearly warehouse-only. Bernie must choose Warehouse (R81,25/h, Sunday R97,50, meeting time unpaid) or Venue/Event (R95/h, Sunday R114) before the rate is decided. Until then the shift stays at the engine amount.</t>
        </is>
      </c>
      <c r="H11" s="29"/>
      <c r="I11" s="30">
        <v>4</v>
      </c>
      <c r="J11" s="29"/>
      <c r="K11" s="29" t="inlineStr">
        <is>
          <t xml:space="preserve">approve original</t>
        </is>
      </c>
      <c r="L11" s="29" t="inlineStr">
        <is>
          <t xml:space="preserve">Bernie Burness</t>
        </is>
      </c>
      <c r="M11" s="29" t="inlineStr">
        <is>
          <t xml:space="preserve">2026-09-29 16:33:34</t>
        </is>
      </c>
      <c r="N11" s="29" t="inlineStr">
        <is>
          <t xml:space="preserve">Warehouse rate chosen — shift #9890 R750,00 → R325,00 (Warehouse: 4 h × R81,25)</t>
        </is>
      </c>
    </row>
    <row r="12">
      <c r="A12" s="29" t="inlineStr">
        <is>
          <t xml:space="preserve">RESOLVED</t>
        </is>
      </c>
      <c r="B12" s="29">
        <v>10279</v>
      </c>
      <c r="C12" s="29" t="inlineStr">
        <is>
          <t xml:space="preserve">John Simbarashe Mhlanga</t>
        </is>
      </c>
      <c r="D12" s="29" t="inlineStr">
        <is>
          <t xml:space="preserve">2026-09-29</t>
        </is>
      </c>
      <c r="E12" s="29" t="inlineStr">
        <is>
          <t xml:space="preserve">07:00–16:00 Warehouse</t>
        </is>
      </c>
      <c r="F12" s="29" t="inlineStr">
        <is>
          <t xml:space="preserve">Rate choice: Warehouse or Event/Venue</t>
        </is>
      </c>
      <c r="G12" s="29" t="inlineStr">
        <is>
          <t xml:space="preserve">RATE CHOICE NEEDED: the wording mentions "warehouse" but the work type is Normal, so it is not clearly warehouse-only. Bernie must choose Warehouse (R81,25/h, Sunday R97,50, meeting time unpaid) or Venue/Event (R95/h, Sunday R114) before the rate is decided. Until then the shift stays at the engine amount.</t>
        </is>
      </c>
      <c r="H12" s="29"/>
      <c r="I12" s="30">
        <v>9</v>
      </c>
      <c r="J12" s="29"/>
      <c r="K12" s="29" t="inlineStr">
        <is>
          <t xml:space="preserve">approve adjusted</t>
        </is>
      </c>
      <c r="L12" s="29" t="inlineStr">
        <is>
          <t xml:space="preserve">Bernie Burness (via assistant)</t>
        </is>
      </c>
      <c r="M12" s="29" t="inlineStr">
        <is>
          <t xml:space="preserve">2026-09-30 07:34:12</t>
        </is>
      </c>
      <c r="N12" s="29" t="inlineStr">
        <is>
          <t xml:space="preserve">Owner 30 Sep 2026: rate set by team/date rule (Sunbet set-up = event; same team same day = same rate). See row note.</t>
        </is>
      </c>
    </row>
    <row r="13">
      <c r="A13" s="32" t="inlineStr">
        <is>
          <t xml:space="preserve">RESOLVED</t>
        </is>
      </c>
      <c r="B13" s="32">
        <v>10271</v>
      </c>
      <c r="C13" s="32" t="inlineStr">
        <is>
          <t xml:space="preserve">Joshua Motsamai Nteo</t>
        </is>
      </c>
      <c r="D13" s="32" t="inlineStr">
        <is>
          <t xml:space="preserve">2026-09-29</t>
        </is>
      </c>
      <c r="E13" s="32" t="inlineStr">
        <is>
          <t xml:space="preserve">07:00–16:00 Warehouse</t>
        </is>
      </c>
      <c r="F13" s="32" t="inlineStr">
        <is>
          <t xml:space="preserve">Rate choice: Warehouse or Event/Venue</t>
        </is>
      </c>
      <c r="G13" s="32" t="inlineStr">
        <is>
          <t xml:space="preserve">RATE CHOICE NEEDED: the wording mentions "warehouse" but the work type is Normal, so it is not clearly warehouse-only. Bernie must choose Warehouse (R81,25/h, Sunday R97,50, meeting time unpaid) or Venue/Event (R95/h, Sunday R114) before the rate is decided. Until then the shift stays at the engine amount.</t>
        </is>
      </c>
      <c r="H13" s="32"/>
      <c r="I13" s="33">
        <v>9</v>
      </c>
      <c r="J13" s="32"/>
      <c r="K13" s="32" t="inlineStr">
        <is>
          <t xml:space="preserve">approve adjusted</t>
        </is>
      </c>
      <c r="L13" s="32" t="inlineStr">
        <is>
          <t xml:space="preserve">Bernie Burness (via assistant)</t>
        </is>
      </c>
      <c r="M13" s="32" t="inlineStr">
        <is>
          <t xml:space="preserve">2026-09-30 07:34:12</t>
        </is>
      </c>
      <c r="N13" s="32" t="inlineStr">
        <is>
          <t xml:space="preserve">Owner 30 Sep 2026: rate set by team/date rule (Sunbet set-up = event; same team same day = same rate). See row note.</t>
        </is>
      </c>
    </row>
    <row r="14">
      <c r="A14" s="17" t="inlineStr">
        <is>
          <t xml:space="preserve">RESOLVED</t>
        </is>
      </c>
      <c r="B14" s="17">
        <v>10168</v>
      </c>
      <c r="C14" s="17" t="inlineStr">
        <is>
          <t xml:space="preserve">Patrick Ngozo</t>
        </is>
      </c>
      <c r="D14" s="17" t="inlineStr">
        <is>
          <t xml:space="preserve">2026-09-25</t>
        </is>
      </c>
      <c r="E14" s="17" t="inlineStr">
        <is>
          <t xml:space="preserve">05:00–07:00 Pretoria Country Club</t>
        </is>
      </c>
      <c r="F14" s="17" t="inlineStr">
        <is>
          <t xml:space="preserve">Manual overlap review</t>
        </is>
      </c>
      <c r="G14" s="17" t="inlineStr">
        <is>
          <t xml:space="preserve">the same employee has another overlapping entry on 2026-09-25 for 05:00-07:00.</t>
        </is>
      </c>
      <c r="H14" s="17"/>
      <c r="I14" s="18">
        <v>2</v>
      </c>
      <c r="J14" s="18">
        <v>2</v>
      </c>
      <c r="K14" s="17" t="inlineStr">
        <is>
          <t xml:space="preserve">approve adjusted</t>
        </is>
      </c>
      <c r="L14" s="17" t="inlineStr">
        <is>
          <t xml:space="preserve">Bernie Burness</t>
        </is>
      </c>
      <c r="M14" s="17" t="inlineStr">
        <is>
          <t xml:space="preserve">2026-09-27 14:15:39</t>
        </is>
      </c>
      <c r="N14" s="17" t="inlineStr">
        <is>
          <t xml:space="preserve">Approved.</t>
        </is>
      </c>
    </row>
    <row r="15">
      <c r="A15" s="17" t="inlineStr">
        <is>
          <t xml:space="preserve">RESOLVED</t>
        </is>
      </c>
      <c r="B15" s="17">
        <v>10173</v>
      </c>
      <c r="C15" s="17" t="inlineStr">
        <is>
          <t xml:space="preserve">Patrick Ngozo</t>
        </is>
      </c>
      <c r="D15" s="17" t="inlineStr">
        <is>
          <t xml:space="preserve">2026-09-25</t>
        </is>
      </c>
      <c r="E15" s="17" t="inlineStr">
        <is>
          <t xml:space="preserve">05:00–07:00 Pretoria Country Club</t>
        </is>
      </c>
      <c r="F15" s="17" t="inlineStr">
        <is>
          <t xml:space="preserve">ALREADY PAID — this claim is covered by what was paid</t>
        </is>
      </c>
      <c r="G15" s="17" t="inlineStr">
        <is>
          <t xml:space="preserve">Patrick was paid Fri 25 Sep 2026 06:30–16:00 · Pretoria Country Club (Pretoria) · Normal · "Set up Golf ⛳️  course" · 9.50 h × R95,00 = R902,50 (payroll 2026-09-19). He now claims 05:00–07:00 · Pretoria Country Club (Pretoria) · Normal · "Set up golf day" · 2.00 h for the same day. Same work type, but the rate paid (R95,00/h) differs from the rule (R95,00/h). • Rate correction on the paid hours 06:30–07:00: 0.50 h — worth R47,50 at the correct rule, R902,50 was paid → −R855,00 • Extra hours 05:00–06:30: 1.50 h → R142,50 What was paid (R902,50) already covers this claim (R190,00 at the correct rule). Nothing more is due: R0,00. Hours from Wednesday onwards are estimated for the auditor run; this entry corrects them. Bernie to approve — nothing has been changed.</t>
        </is>
      </c>
      <c r="H15" s="18">
        <v>1.5</v>
      </c>
      <c r="I15" s="18">
        <v>2</v>
      </c>
      <c r="J15" s="18">
        <v>1.5</v>
      </c>
      <c r="K15" s="17" t="inlineStr">
        <is>
          <t xml:space="preserve">approve additional hours only</t>
        </is>
      </c>
      <c r="L15" s="17" t="inlineStr">
        <is>
          <t xml:space="preserve">Bernie Burness</t>
        </is>
      </c>
      <c r="M15" s="17" t="inlineStr">
        <is>
          <t xml:space="preserve">2026-09-27 14:20:06</t>
        </is>
      </c>
      <c r="N15" s="17" t="inlineStr">
        <is>
          <t xml:space="preserve">Owner 27 Sep: already paid 06:30–16:00 on #9839 (R902,50). Only the uncovered 05:00–06:30 = 1,5 h × R95 = R142,50 is due on #9870 — row set to R142,50.</t>
        </is>
      </c>
    </row>
    <row r="16">
      <c r="A16" s="17" t="inlineStr">
        <is>
          <t xml:space="preserve">RESOLVED</t>
        </is>
      </c>
      <c r="B16" s="17">
        <v>10189</v>
      </c>
      <c r="C16" s="17" t="inlineStr">
        <is>
          <t xml:space="preserve">Patrick Ngozo</t>
        </is>
      </c>
      <c r="D16" s="17" t="inlineStr">
        <is>
          <t xml:space="preserve">2026-09-29</t>
        </is>
      </c>
      <c r="E16" s="17" t="inlineStr">
        <is>
          <t xml:space="preserve">06:30–16:00 Wearhouse</t>
        </is>
      </c>
      <c r="F16" s="17" t="inlineStr">
        <is>
          <t xml:space="preserve">Rate choice: Warehouse or Event/Venue</t>
        </is>
      </c>
      <c r="G16" s="17" t="inlineStr">
        <is>
          <t xml:space="preserve">RATE CHOICE NEEDED: the wording mentions "warehouse" but the work type is Normal, so it is not clearly warehouse-only. Bernie must choose Warehouse (R81,25/h, Sunday R97,50, meeting time unpaid) or Venue/Event (R95/h, Sunday R114) before the rate is decided. Until then the shift stays at the engine amount.</t>
        </is>
      </c>
      <c r="H16" s="17"/>
      <c r="I16" s="18">
        <v>9.5</v>
      </c>
      <c r="J16" s="17"/>
      <c r="K16" s="17" t="inlineStr">
        <is>
          <t xml:space="preserve">approve original</t>
        </is>
      </c>
      <c r="L16" s="17" t="inlineStr">
        <is>
          <t xml:space="preserve">Bernie Burness</t>
        </is>
      </c>
      <c r="M16" s="17" t="inlineStr">
        <is>
          <t xml:space="preserve">2026-09-29 12:53:11</t>
        </is>
      </c>
      <c r="N16" s="17" t="inlineStr">
        <is>
          <t xml:space="preserve">Warehouse rate chosen — shift #9878 R795,00 → R731,25 (Warehouse: 9.5 h − 0.5 h staff meeting 07:00–07:30 (unpaid, R40,63) = 9 h × R81,25)</t>
        </is>
      </c>
    </row>
    <row r="17">
      <c r="A17" s="17" t="inlineStr">
        <is>
          <t xml:space="preserve">RESOLVED</t>
        </is>
      </c>
      <c r="B17" s="17">
        <v>10234</v>
      </c>
      <c r="C17" s="17" t="inlineStr">
        <is>
          <t xml:space="preserve">Patrick Ngozo</t>
        </is>
      </c>
      <c r="D17" s="17" t="inlineStr">
        <is>
          <t xml:space="preserve">2026-10-01</t>
        </is>
      </c>
      <c r="E17" s="17" t="inlineStr">
        <is>
          <t xml:space="preserve">06:30–16:00 Warehouse</t>
        </is>
      </c>
      <c r="F17" s="17" t="inlineStr">
        <is>
          <t xml:space="preserve">Rate choice: Warehouse or Event/Venue</t>
        </is>
      </c>
      <c r="G17" s="17" t="inlineStr">
        <is>
          <t xml:space="preserve">RATE CHOICE NEEDED: the wording mentions "warehouse" but the work type is Normal, so it is not clearly warehouse-only. Bernie must choose Warehouse (R81,25/h, Sunday R97,50, meeting time unpaid) or Venue/Event (R95/h, Sunday R114) before the rate is decided. Until then the shift stays at the engine amount.</t>
        </is>
      </c>
      <c r="H17" s="17"/>
      <c r="I17" s="18">
        <v>9.5</v>
      </c>
      <c r="J17" s="17"/>
      <c r="K17" s="17" t="inlineStr">
        <is>
          <t xml:space="preserve">approve original</t>
        </is>
      </c>
      <c r="L17" s="17" t="inlineStr">
        <is>
          <t xml:space="preserve">Bernie Burness</t>
        </is>
      </c>
      <c r="M17" s="17" t="inlineStr">
        <is>
          <t xml:space="preserve">2026-09-30 02:54:31</t>
        </is>
      </c>
      <c r="N17" s="17" t="inlineStr">
        <is>
          <t xml:space="preserve">Event/Venue rate chosen — shift #9902 R795,00 → R902,50 (Venue/event: 9.5 h × R95)</t>
        </is>
      </c>
    </row>
    <row r="18">
      <c r="A18" s="20" t="inlineStr">
        <is>
          <t xml:space="preserve">RESOLVED</t>
        </is>
      </c>
      <c r="B18" s="20">
        <v>10253</v>
      </c>
      <c r="C18" s="20" t="inlineStr">
        <is>
          <t xml:space="preserve">Solomon Moyo</t>
        </is>
      </c>
      <c r="D18" s="20" t="inlineStr">
        <is>
          <t xml:space="preserve">2026-09-29</t>
        </is>
      </c>
      <c r="E18" s="20" t="inlineStr">
        <is>
          <t xml:space="preserve">07:00–16:00 Warehouse</t>
        </is>
      </c>
      <c r="F18" s="20" t="inlineStr">
        <is>
          <t xml:space="preserve">Rate choice: Warehouse or Event/Venue</t>
        </is>
      </c>
      <c r="G18" s="20" t="inlineStr">
        <is>
          <t xml:space="preserve">RATE CHOICE NEEDED: the wording mentions "warehouse" but the work type is Normal, so it is not clearly warehouse-only. Bernie must choose Warehouse (R81,25/h, Sunday R97,50, meeting time unpaid) or Venue/Event (R95/h, Sunday R114) before the rate is decided. Until then the shift stays at the engine amount.</t>
        </is>
      </c>
      <c r="H18" s="20"/>
      <c r="I18" s="21">
        <v>9</v>
      </c>
      <c r="J18" s="20"/>
      <c r="K18" s="20" t="inlineStr">
        <is>
          <t xml:space="preserve">approve adjusted</t>
        </is>
      </c>
      <c r="L18" s="20" t="inlineStr">
        <is>
          <t xml:space="preserve">Bernie Burness (via assistant)</t>
        </is>
      </c>
      <c r="M18" s="20" t="inlineStr">
        <is>
          <t xml:space="preserve">2026-09-30 07:34:12</t>
        </is>
      </c>
      <c r="N18" s="20" t="inlineStr">
        <is>
          <t xml:space="preserve">Owner 30 Sep 2026: rate set by team/date rule (Sunbet set-up = event; same team same day = same rate). See row note.</t>
        </is>
      </c>
    </row>
    <row r="19">
      <c r="A19" s="23" t="inlineStr">
        <is>
          <t xml:space="preserve">RESOLVED</t>
        </is>
      </c>
      <c r="B19" s="23">
        <v>10180</v>
      </c>
      <c r="C19" s="23" t="inlineStr">
        <is>
          <t xml:space="preserve">Takavaudza Chokuda</t>
        </is>
      </c>
      <c r="D19" s="23" t="inlineStr">
        <is>
          <t xml:space="preserve">2026-09-26</t>
        </is>
      </c>
      <c r="E19" s="23" t="inlineStr">
        <is>
          <t xml:space="preserve">06:00–13:00 Warehouse</t>
        </is>
      </c>
      <c r="F19" s="23" t="inlineStr">
        <is>
          <t xml:space="preserve">Crew pattern — 4 of 5 at a venue, this one says Warehouse</t>
        </is>
      </c>
      <c r="G19" s="23" t="inlineStr">
        <is>
          <t xml:space="preserve">CREW PATTERN: 4 of 5 workers were at a venue on Sat 26 Sep 2026 (Brooklyn, Brooklyn pretoria, Sonop, SONOP) — Takavaudza Chokuda says Warehouse for 7.00 h. Check he was not at the venue (R95/h would be due).</t>
        </is>
      </c>
      <c r="H19" s="23"/>
      <c r="I19" s="24">
        <v>7</v>
      </c>
      <c r="J19" s="24">
        <v>7</v>
      </c>
      <c r="K19" s="23" t="inlineStr">
        <is>
          <t xml:space="preserve">approve original</t>
        </is>
      </c>
      <c r="L19" s="23" t="inlineStr">
        <is>
          <t xml:space="preserve">Bernie Burness</t>
        </is>
      </c>
      <c r="M19" s="23" t="inlineStr">
        <is>
          <t xml:space="preserve">2026-09-28 16:09:08</t>
        </is>
      </c>
      <c r="N19" s="23" t="inlineStr">
        <is>
          <t xml:space="preserve">WAREHOUSE — R81,25/h chosen by Bernie Burness for draft #930 — will pay R568,75 when final-submitted (Warehouse: 7 h × R81,25)</t>
        </is>
      </c>
    </row>
    <row r="20">
      <c r="A20" s="23" t="inlineStr">
        <is>
          <t xml:space="preserve">RESOLVED</t>
        </is>
      </c>
      <c r="B20" s="23">
        <v>10276</v>
      </c>
      <c r="C20" s="23" t="inlineStr">
        <is>
          <t xml:space="preserve">Takavaudza Chokuda</t>
        </is>
      </c>
      <c r="D20" s="23" t="inlineStr">
        <is>
          <t xml:space="preserve">2026-09-27</t>
        </is>
      </c>
      <c r="E20" s="23" t="inlineStr">
        <is>
          <t xml:space="preserve">07:00–12:00 Warehouse</t>
        </is>
      </c>
      <c r="F20" s="23" t="inlineStr">
        <is>
          <t xml:space="preserve">Crew pattern — 3 of 4 at a venue, this one says Warehouse</t>
        </is>
      </c>
      <c r="G20" s="23" t="inlineStr">
        <is>
          <t xml:space="preserve">CREW PATTERN: 3 of 4 workers were at a venue on Sun 27 Sep 2026 (Sandton Convention Centre and The Capital, Conversation center Sandton/ Capital hotel, Sandton convention centre) — Takavaudza Chokuda says Warehouse for 5.00 h. Check he was not at the venue (R95/h would be due).</t>
        </is>
      </c>
      <c r="H20" s="23"/>
      <c r="I20" s="24">
        <v>5</v>
      </c>
      <c r="J20" s="23"/>
      <c r="K20" s="23" t="inlineStr">
        <is>
          <t xml:space="preserve">approve original</t>
        </is>
      </c>
      <c r="L20" s="23" t="inlineStr">
        <is>
          <t xml:space="preserve">Bernie Burness (via assistant)</t>
        </is>
      </c>
      <c r="M20" s="23" t="inlineStr">
        <is>
          <t xml:space="preserve">2026-09-30 07:34:48</t>
        </is>
      </c>
      <c r="N20" s="23" t="inlineStr">
        <is>
          <t xml:space="preserve">Owner 27/28 Sep: Taka Sunday warehouse 07:00–12:00 at venue Sunday rate (R114) then house 12:30 — already ruled and priced.</t>
        </is>
      </c>
    </row>
    <row r="21">
      <c r="A21" s="23" t="inlineStr">
        <is>
          <t xml:space="preserve">RESOLVED</t>
        </is>
      </c>
      <c r="B21" s="23">
        <v>10190</v>
      </c>
      <c r="C21" s="23" t="inlineStr">
        <is>
          <t xml:space="preserve">Takavaudza Chokuda</t>
        </is>
      </c>
      <c r="D21" s="23" t="inlineStr">
        <is>
          <t xml:space="preserve">2026-09-28</t>
        </is>
      </c>
      <c r="E21" s="23" t="inlineStr">
        <is>
          <t xml:space="preserve">07:00–16:00 Wanderas, Orlando pirates</t>
        </is>
      </c>
      <c r="F21" s="23" t="inlineStr">
        <is>
          <t xml:space="preserve">Warehouse claimed — but the entry names “Johannesburg”</t>
        </is>
      </c>
      <c r="G21" s="23" t="inlineStr">
        <is>
          <t xml:space="preserve">WAREHOUSE CLAIMED BUT THE ENTRY NAMES “Johannesburg”: Takavaudza Chokuda selected Warehouse Team at “Wanderas, Orlando pirates” for 9.00 h on Mon 28 Sep 2026, but wrote “Johannesburg” — that is a venue, not the warehouse. 5 workers were at a venue that day (Protea hotel wanderer, ORLANDO &amp; WANDERERS, Sonop Pretoria and Wanderers, Sonop Pretoria/ Protea hotel, Orlando stadium). If he was at “Johannesburg”, he is due the venue rate (R95/h); if he was really in the warehouse, R81,25/h. Choose below.</t>
        </is>
      </c>
      <c r="H21" s="23"/>
      <c r="I21" s="24">
        <v>9</v>
      </c>
      <c r="J21" s="24">
        <v>9</v>
      </c>
      <c r="K21" s="23" t="inlineStr">
        <is>
          <t xml:space="preserve">approve original</t>
        </is>
      </c>
      <c r="L21" s="23" t="inlineStr">
        <is>
          <t xml:space="preserve">Bernie Burness</t>
        </is>
      </c>
      <c r="M21" s="23" t="inlineStr">
        <is>
          <t xml:space="preserve">2026-09-29 12:54:03</t>
        </is>
      </c>
      <c r="N21" s="23" t="inlineStr">
        <is>
          <t xml:space="preserve">VENUE — R95/h chosen by Bernie Burness for draft #957 — will pay R855,00 when final-submitted (Venue/event: 9 h × R95) — worker selected "Warehouse Team"; office overrides to Venue</t>
        </is>
      </c>
    </row>
    <row r="22">
      <c r="A22" s="23" t="inlineStr">
        <is>
          <t xml:space="preserve">RESOLVED</t>
        </is>
      </c>
      <c r="B22" s="23">
        <v>10151</v>
      </c>
      <c r="C22" s="23" t="inlineStr">
        <is>
          <t xml:space="preserve">Takavaudza Chokuda</t>
        </is>
      </c>
      <c r="D22" s="23" t="inlineStr">
        <is>
          <t xml:space="preserve">2026-09-29</t>
        </is>
      </c>
      <c r="E22" s="23" t="inlineStr">
        <is>
          <t xml:space="preserve">18:00–21:00 FNB stadium</t>
        </is>
      </c>
      <c r="F22" s="23" t="inlineStr">
        <is>
          <t xml:space="preserve">Warehouse claimed — but the entry names “Johannesburg”</t>
        </is>
      </c>
      <c r="G22" s="23" t="inlineStr">
        <is>
          <t xml:space="preserve">WAREHOUSE CLAIMED BUT THE ENTRY NAMES “Johannesburg”: Takavaudza Chokuda selected Warehouse Team at “FNB stadium” for 6.00 h on Tue 29 Sep 2026, but wrote “Johannesburg” — that is a venue, not the warehouse. If he was at “Johannesburg”, he is due the venue rate (R95/h); if he was really in the warehouse, R81,25/h. Choose below.</t>
        </is>
      </c>
      <c r="H22" s="23"/>
      <c r="I22" s="24">
        <v>3</v>
      </c>
      <c r="J22" s="23"/>
      <c r="K22" s="23" t="inlineStr">
        <is>
          <t xml:space="preserve">approve original</t>
        </is>
      </c>
      <c r="L22" s="23" t="inlineStr">
        <is>
          <t xml:space="preserve">Bernie Burness</t>
        </is>
      </c>
      <c r="M22" s="23" t="inlineStr">
        <is>
          <t xml:space="preserve">2026-09-28 16:08:29</t>
        </is>
      </c>
      <c r="N22" s="23" t="inlineStr">
        <is>
          <t xml:space="preserve">Event/Venue rate chosen — shift #399 R540,00 → R570,00 (Venue/event: 6 h × R95)</t>
        </is>
      </c>
    </row>
    <row r="23">
      <c r="A23" s="23" t="inlineStr">
        <is>
          <t xml:space="preserve">RESOLVED</t>
        </is>
      </c>
      <c r="B23" s="23">
        <v>10225</v>
      </c>
      <c r="C23" s="23" t="inlineStr">
        <is>
          <t xml:space="preserve">Takavaudza Chokuda</t>
        </is>
      </c>
      <c r="D23" s="23" t="inlineStr">
        <is>
          <t xml:space="preserve">2026-09-29</t>
        </is>
      </c>
      <c r="E23" s="23" t="inlineStr">
        <is>
          <t xml:space="preserve">07:00–16:00 Warehouse</t>
        </is>
      </c>
      <c r="F23" s="23" t="inlineStr">
        <is>
          <t xml:space="preserve">Warehouse claimed — but the entry names “gardens”</t>
        </is>
      </c>
      <c r="G23" s="23" t="inlineStr">
        <is>
          <t xml:space="preserve">WAREHOUSE CLAIMED BUT THE ENTRY NAMES “gardens”: Takavaudza Chokuda selected Warehouse Team at “Warehouse” for 9.00 h on Tue 29 Sep 2026, but wrote “gardens” — that is a venue, not the warehouse. If he was at “gardens”, he is due the venue rate (R95/h); if he was really in the warehouse, R81,25/h. Choose below.</t>
        </is>
      </c>
      <c r="H23" s="23"/>
      <c r="I23" s="24">
        <v>9</v>
      </c>
      <c r="J23" s="24">
        <v>9</v>
      </c>
      <c r="K23" s="23" t="inlineStr">
        <is>
          <t xml:space="preserve">approve original</t>
        </is>
      </c>
      <c r="L23" s="23" t="inlineStr">
        <is>
          <t xml:space="preserve">Bernie Burness</t>
        </is>
      </c>
      <c r="M23" s="23" t="inlineStr">
        <is>
          <t xml:space="preserve">2026-09-29 16:34:25</t>
        </is>
      </c>
      <c r="N23" s="23" t="inlineStr">
        <is>
          <t xml:space="preserve">WAREHOUSE — R81,25/h chosen by Bernie Burness for draft #981 — will pay R690,63 when final-submitted (Warehouse: 9 h − 0.5 h staff meeting 07:00–07:30 (unpaid, R40,63) = 8.5 h × R81,25)</t>
        </is>
      </c>
    </row>
    <row r="24">
      <c r="A24" s="23" t="inlineStr">
        <is>
          <t xml:space="preserve">RESOLVED</t>
        </is>
      </c>
      <c r="B24" s="23">
        <v>10226</v>
      </c>
      <c r="C24" s="23" t="inlineStr">
        <is>
          <t xml:space="preserve">Takavaudza Chokuda</t>
        </is>
      </c>
      <c r="D24" s="23" t="inlineStr">
        <is>
          <t xml:space="preserve">2026-09-30</t>
        </is>
      </c>
      <c r="E24" s="23" t="inlineStr">
        <is>
          <t xml:space="preserve">07:00–16:00 Sunbet</t>
        </is>
      </c>
      <c r="F24" s="23" t="inlineStr">
        <is>
          <t xml:space="preserve">Warehouse claimed — but the entry names “Pretoria”</t>
        </is>
      </c>
      <c r="G24" s="23" t="inlineStr">
        <is>
          <t xml:space="preserve">WAREHOUSE CLAIMED BUT THE ENTRY NAMES “Pretoria”: Takavaudza Chokuda selected Warehouse Team at “Sunbet” for 9.00 h on Wed 30 Sep 2026, but wrote “Pretoria” — that is a venue, not the warehouse. Other workers were at SunBet Arena Pretoria that day. If he was at “Pretoria”, he is due the venue rate (R95/h); if he was really in the warehouse, R81,25/h. Choose below.</t>
        </is>
      </c>
      <c r="H24" s="23"/>
      <c r="I24" s="24">
        <v>9</v>
      </c>
      <c r="J24" s="24">
        <v>9</v>
      </c>
      <c r="K24" s="23" t="inlineStr">
        <is>
          <t xml:space="preserve">approve original</t>
        </is>
      </c>
      <c r="L24" s="23" t="inlineStr">
        <is>
          <t xml:space="preserve">Bernie Burness</t>
        </is>
      </c>
      <c r="M24" s="23" t="inlineStr">
        <is>
          <t xml:space="preserve">2026-09-29 16:34:28</t>
        </is>
      </c>
      <c r="N24" s="23" t="inlineStr">
        <is>
          <t xml:space="preserve">VENUE — R95/h chosen by Bernie Burness for draft #982 — will pay R855,00 when final-submitted (Venue/event: 9 h × R95) — worker selected "Warehouse Team"; office overrides to Venue</t>
        </is>
      </c>
    </row>
    <row r="25">
      <c r="A25" s="23" t="inlineStr">
        <is>
          <t xml:space="preserve">RESOLVED</t>
        </is>
      </c>
      <c r="B25" s="23">
        <v>10227</v>
      </c>
      <c r="C25" s="23" t="inlineStr">
        <is>
          <t xml:space="preserve">Takavaudza Chokuda</t>
        </is>
      </c>
      <c r="D25" s="23" t="inlineStr">
        <is>
          <t xml:space="preserve">2026-10-01</t>
        </is>
      </c>
      <c r="E25" s="23" t="inlineStr">
        <is>
          <t xml:space="preserve">07:00–16:00 Warehouse</t>
        </is>
      </c>
      <c r="F25" s="23" t="inlineStr">
        <is>
          <t xml:space="preserve">Crew pattern — 4 of 5 at a venue, this one says Warehouse</t>
        </is>
      </c>
      <c r="G25" s="23" t="inlineStr">
        <is>
          <t xml:space="preserve">CREW PATTERN: 4 of 5 workers were at a venue on Thu 1 Oct 2026 (Homecoming, Botanical Gardens, Pretoria Botanical Gardens) — Takavaudza Chokuda says Warehouse for 9.00 h. Check he was not at the venue (R95/h would be due).</t>
        </is>
      </c>
      <c r="H25" s="23"/>
      <c r="I25" s="24">
        <v>9</v>
      </c>
      <c r="J25" s="24">
        <v>9</v>
      </c>
      <c r="K25" s="23" t="inlineStr">
        <is>
          <t xml:space="preserve">approve original</t>
        </is>
      </c>
      <c r="L25" s="23" t="inlineStr">
        <is>
          <t xml:space="preserve">Bernie Burness</t>
        </is>
      </c>
      <c r="M25" s="23" t="inlineStr">
        <is>
          <t xml:space="preserve">2026-09-29 16:35:11</t>
        </is>
      </c>
      <c r="N25" s="23" t="inlineStr">
        <is>
          <t xml:space="preserve">VENUE — R95/h chosen by Bernie Burness for draft #983 — will pay R855,00 when final-submitted (Venue/event: 9 h × R95) — worker selected "Warehouse Team"; office overrides to Venue</t>
        </is>
      </c>
    </row>
    <row r="26">
      <c r="A26" s="23" t="inlineStr">
        <is>
          <t xml:space="preserve">RESOLVED</t>
        </is>
      </c>
      <c r="B26" s="23">
        <v>10228</v>
      </c>
      <c r="C26" s="23" t="inlineStr">
        <is>
          <t xml:space="preserve">Takavaudza Chokuda</t>
        </is>
      </c>
      <c r="D26" s="23" t="inlineStr">
        <is>
          <t xml:space="preserve">2026-10-02</t>
        </is>
      </c>
      <c r="E26" s="23" t="inlineStr">
        <is>
          <t xml:space="preserve">07:00–16:00 Warehouse</t>
        </is>
      </c>
      <c r="F26" s="23" t="inlineStr">
        <is>
          <t xml:space="preserve">Crew pattern — 4 of 5 at a venue, this one says Warehouse</t>
        </is>
      </c>
      <c r="G26" s="23" t="inlineStr">
        <is>
          <t xml:space="preserve">CREW PATTERN: 4 of 5 workers were at a venue on Fri 2 Oct 2026 (Cielo, Benoni, Pretoria Botanical Gardens, ONE WOMAN SHOW) — Takavaudza Chokuda says Warehouse for 9.00 h. Check he was not at the venue (R95/h would be due).</t>
        </is>
      </c>
      <c r="H26" s="23"/>
      <c r="I26" s="24">
        <v>9</v>
      </c>
      <c r="J26" s="24">
        <v>9</v>
      </c>
      <c r="K26" s="23" t="inlineStr">
        <is>
          <t xml:space="preserve">approve original</t>
        </is>
      </c>
      <c r="L26" s="23" t="inlineStr">
        <is>
          <t xml:space="preserve">Bernie Burness</t>
        </is>
      </c>
      <c r="M26" s="23" t="inlineStr">
        <is>
          <t xml:space="preserve">2026-09-29 16:35:22</t>
        </is>
      </c>
      <c r="N26" s="23" t="inlineStr">
        <is>
          <t xml:space="preserve">VENUE — R95/h chosen by Bernie Burness for draft #984 — will pay R855,00 when final-submitted (Venue/event: 9 h × R95) — worker selected "Warehouse Team"; office overrides to Venue</t>
        </is>
      </c>
    </row>
    <row r="27">
      <c r="A27" s="26" t="inlineStr">
        <is>
          <t xml:space="preserve">RESOLVED</t>
        </is>
      </c>
      <c r="B27" s="26">
        <v>10301</v>
      </c>
      <c r="C27" s="26" t="inlineStr">
        <is>
          <t xml:space="preserve">Thandanani Nkala</t>
        </is>
      </c>
      <c r="D27" s="26" t="inlineStr">
        <is>
          <t xml:space="preserve">2026-09-28</t>
        </is>
      </c>
      <c r="E27" s="26" t="inlineStr">
        <is>
          <t xml:space="preserve">07:00–16:00 Orlando Amstel Arena/Wanderers Stadium/Warehouse</t>
        </is>
      </c>
      <c r="F27" s="26" t="inlineStr">
        <is>
          <t xml:space="preserve">Rate choice: Warehouse or Event/Venue</t>
        </is>
      </c>
      <c r="G27" s="26" t="inlineStr">
        <is>
          <t xml:space="preserve">RATE CHOICE NEEDED: the wording mentions "warehouse" but the work type is Normal, so it is not clearly warehouse-only. Bernie must choose Warehouse (R81,25/h, Sunday R97,50, meeting time unpaid) or Venue/Event (R95/h, Sunday R114) before the rate is decided. Until then the shift stays at the engine amount.</t>
        </is>
      </c>
      <c r="H27" s="26"/>
      <c r="I27" s="27">
        <v>9</v>
      </c>
      <c r="J27" s="26"/>
      <c r="K27" s="26" t="inlineStr">
        <is>
          <t xml:space="preserve">approve adjusted</t>
        </is>
      </c>
      <c r="L27" s="26" t="inlineStr">
        <is>
          <t xml:space="preserve">Bernie Burness (via assistant)</t>
        </is>
      </c>
      <c r="M27" s="26" t="inlineStr">
        <is>
          <t xml:space="preserve">2026-09-30 07:34:12</t>
        </is>
      </c>
      <c r="N27" s="26" t="inlineStr">
        <is>
          <t xml:space="preserve">Owner 30 Sep 2026: rate set by team/date rule (Sunbet set-up = event; same team same day = same rate). See row note.</t>
        </is>
      </c>
    </row>
    <row r="28">
      <c r="A28" s="26" t="inlineStr">
        <is>
          <t xml:space="preserve">RESOLVED</t>
        </is>
      </c>
      <c r="B28" s="26">
        <v>10299</v>
      </c>
      <c r="C28" s="26" t="inlineStr">
        <is>
          <t xml:space="preserve">Thandanani Nkala</t>
        </is>
      </c>
      <c r="D28" s="26" t="inlineStr">
        <is>
          <t xml:space="preserve">2026-09-29</t>
        </is>
      </c>
      <c r="E28" s="26" t="inlineStr">
        <is>
          <t xml:space="preserve">07:00–16:00 Warehouse</t>
        </is>
      </c>
      <c r="F28" s="26" t="inlineStr">
        <is>
          <t xml:space="preserve">Rate choice: Warehouse or Event/Venue</t>
        </is>
      </c>
      <c r="G28" s="26" t="inlineStr">
        <is>
          <t xml:space="preserve">RATE CHOICE NEEDED: the wording mentions "warehouse" but the work type is Normal, so it is not clearly warehouse-only. Bernie must choose Warehouse (R81,25/h, Sunday R97,50, meeting time unpaid) or Venue/Event (R95/h, Sunday R114) before the rate is decided. Until then the shift stays at the engine amount.</t>
        </is>
      </c>
      <c r="H28" s="26"/>
      <c r="I28" s="27">
        <v>9</v>
      </c>
      <c r="J28" s="26"/>
      <c r="K28" s="26" t="inlineStr">
        <is>
          <t xml:space="preserve">approve adjusted</t>
        </is>
      </c>
      <c r="L28" s="26" t="inlineStr">
        <is>
          <t xml:space="preserve">Bernie Burness (via assistant)</t>
        </is>
      </c>
      <c r="M28" s="26" t="inlineStr">
        <is>
          <t xml:space="preserve">2026-09-30 07:34:12</t>
        </is>
      </c>
      <c r="N28" s="26" t="inlineStr">
        <is>
          <t xml:space="preserve">Owner 30 Sep 2026: rate set by team/date rule (Sunbet set-up = event; same team same day = same rate). See row note.</t>
        </is>
      </c>
    </row>
  </sheetData>
  <mergeCells count="2">
    <mergeCell ref="A1:N1"/>
    <mergeCell ref="A2:N2"/>
  </mergeCells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7" customWidth="1"/>
    <col min="2" max="2" width="26" customWidth="1"/>
    <col min="3" max="3" width="24" customWidth="1"/>
    <col min="4" max="4" width="18" customWidth="1"/>
    <col min="5" max="5" width="58" customWidth="1"/>
    <col min="6" max="6" width="14" customWidth="1"/>
    <col min="7" max="7" width="12" customWidth="1"/>
    <col min="8" max="8" width="14" customWidth="1"/>
    <col min="9" max="9" width="16" customWidth="1"/>
    <col min="10" max="10" width="12" customWidth="1"/>
    <col min="11" max="11" width="10" customWidth="1"/>
    <col min="12" max="12" width="9" customWidth="1"/>
    <col min="13" max="13" width="70" customWidth="1"/>
  </cols>
  <sheetData>
    <row r="1" ht="22" customHeight="1">
      <c r="A1" s="3" t="inlineStr">
        <is>
          <t xml:space="preserve">B&amp;W PRODUCTIONS — LOANS &amp; DEDUCTIONS</t>
        </is>
      </c>
    </row>
    <row r="2" ht="30" customHeight="1">
      <c r="A2" s="11" t="inlineStr">
        <is>
          <t xml:space="preserve">Position as at 2026-10-02. Amounts actually deducted this week are the yellow cells on Auditor Trail Linked.</t>
        </is>
      </c>
    </row>
    <row r="4" ht="30" customHeight="1">
      <c r="A4" s="1" t="inlineStr">
        <is>
          <t xml:space="preserve">FIXED WEEKLY DEDUCTIONS (active this week)</t>
        </is>
      </c>
    </row>
    <row r="5">
      <c r="A5" s="2"/>
      <c r="B5" s="2" t="inlineStr">
        <is>
          <t xml:space="preserve">Employee</t>
        </is>
      </c>
      <c r="C5" s="2" t="inlineStr">
        <is>
          <t xml:space="preserve">Type</t>
        </is>
      </c>
      <c r="D5" s="2" t="inlineStr">
        <is>
          <t xml:space="preserve">Effective from</t>
        </is>
      </c>
      <c r="E5" s="2" t="inlineStr">
        <is>
          <t xml:space="preserve">Reason</t>
        </is>
      </c>
      <c r="F5" s="2" t="inlineStr">
        <is>
          <t xml:space="preserve">Amount per week</t>
        </is>
      </c>
      <c r="G5" s="2" t="inlineStr">
        <is>
          <t xml:space="preserve">Effective to</t>
        </is>
      </c>
    </row>
    <row r="6">
      <c r="B6" s="0" t="inlineStr">
        <is>
          <t xml:space="preserve">Erick Mpho Molefe</t>
        </is>
      </c>
      <c r="C6" s="0" t="inlineStr">
        <is>
          <t xml:space="preserve">Car Payment</t>
        </is>
      </c>
      <c r="D6" s="0" t="inlineStr">
        <is>
          <t xml:space="preserve">2026-08-01</t>
        </is>
      </c>
      <c r="E6" s="0" t="inlineStr">
        <is>
          <t xml:space="preserve">Car Payments</t>
        </is>
      </c>
      <c r="F6" s="4">
        <v>1000</v>
      </c>
      <c r="G6" s="0" t="inlineStr">
        <is>
          <t xml:space="preserve">ongoing</t>
        </is>
      </c>
    </row>
    <row r="7">
      <c r="B7" s="0" t="inlineStr">
        <is>
          <t xml:space="preserve">Isaac Mbele</t>
        </is>
      </c>
      <c r="C7" s="0" t="inlineStr">
        <is>
          <t xml:space="preserve">Eggs</t>
        </is>
      </c>
      <c r="D7" s="0" t="inlineStr">
        <is>
          <t xml:space="preserve">2026-08-01</t>
        </is>
      </c>
      <c r="E7" s="0" t="inlineStr">
        <is>
          <t xml:space="preserve">Eggs</t>
        </is>
      </c>
      <c r="F7" s="4">
        <v>260</v>
      </c>
      <c r="G7" s="0" t="inlineStr">
        <is>
          <t xml:space="preserve">ongoing</t>
        </is>
      </c>
    </row>
    <row r="8">
      <c r="B8" s="0" t="inlineStr">
        <is>
          <t xml:space="preserve">Joshua Motsamai Nteo</t>
        </is>
      </c>
      <c r="C8" s="0" t="inlineStr">
        <is>
          <t xml:space="preserve">Car Payment</t>
        </is>
      </c>
      <c r="D8" s="0" t="inlineStr">
        <is>
          <t xml:space="preserve">2026-09-26</t>
        </is>
      </c>
      <c r="E8" s="0" t="inlineStr">
        <is>
          <t xml:space="preserve">Car Payments — R1 000 deducted weekly from wages; the accumulated weekly amounts are paid over to Joshua on the 25th of every month (owner instruction Bernie Burness, 24 Sep 2026; starts with the 26 Sep – 2 Oct payroll, nothing deducted in the 19–25 Sep payroll).</t>
        </is>
      </c>
      <c r="F8" s="4">
        <v>1000</v>
      </c>
      <c r="G8" s="0" t="inlineStr">
        <is>
          <t xml:space="preserve">ongoing</t>
        </is>
      </c>
    </row>
    <row r="10">
      <c r="A10" s="1" t="inlineStr">
        <is>
          <t xml:space="preserve">ADDITIONAL LOANS</t>
        </is>
      </c>
    </row>
    <row r="11">
      <c r="A11" s="2" t="inlineStr">
        <is>
          <t xml:space="preserve">Loan #</t>
        </is>
      </c>
      <c r="B11" s="2" t="inlineStr">
        <is>
          <t xml:space="preserve">Employee</t>
        </is>
      </c>
      <c r="C11" s="2" t="inlineStr">
        <is>
          <t xml:space="preserve">Date given</t>
        </is>
      </c>
      <c r="D11" s="2" t="inlineStr">
        <is>
          <t xml:space="preserve">Deductions from</t>
        </is>
      </c>
      <c r="E11" s="2" t="inlineStr">
        <is>
          <t xml:space="preserve">Reason</t>
        </is>
      </c>
      <c r="F11" s="2" t="inlineStr">
        <is>
          <t xml:space="preserve">Original amount</t>
        </is>
      </c>
      <c r="G11" s="2" t="inlineStr">
        <is>
          <t xml:space="preserve">Instalment</t>
        </is>
      </c>
      <c r="H11" s="2" t="inlineStr">
        <is>
          <t xml:space="preserve">Repaid to date</t>
        </is>
      </c>
      <c r="I11" s="2" t="inlineStr">
        <is>
          <t xml:space="preserve">Outstanding balance</t>
        </is>
      </c>
      <c r="J11" s="2" t="inlineStr">
        <is>
          <t xml:space="preserve">Due this week</t>
        </is>
      </c>
      <c r="K11" s="2" t="inlineStr">
        <is>
          <t xml:space="preserve">Frequency</t>
        </is>
      </c>
      <c r="L11" s="2" t="inlineStr">
        <is>
          <t xml:space="preserve">Status</t>
        </is>
      </c>
      <c r="M11" s="2" t="inlineStr">
        <is>
          <t xml:space="preserve">Check</t>
        </is>
      </c>
    </row>
    <row r="12">
      <c r="A12" s="0" t="inlineStr">
        <is>
          <t xml:space="preserve">#5</t>
        </is>
      </c>
      <c r="B12" s="0" t="inlineStr">
        <is>
          <t xml:space="preserve">Daniel Motaung</t>
        </is>
      </c>
      <c r="C12" s="0" t="inlineStr">
        <is>
          <t xml:space="preserve">2026-08-23</t>
        </is>
      </c>
      <c r="D12" s="0" t="inlineStr">
        <is>
          <t xml:space="preserve">2026-09-05</t>
        </is>
      </c>
      <c r="E12" s="0" t="inlineStr">
        <is>
          <t xml:space="preserve">CT SCan Hopital needs money upfront for Scan as medical aid paid the d</t>
        </is>
      </c>
      <c r="F12" s="4">
        <v>3000</v>
      </c>
      <c r="G12" s="4">
        <v>500</v>
      </c>
      <c r="H12" s="4">
        <v>0</v>
      </c>
      <c r="I12" s="5">
        <v>0</v>
      </c>
      <c r="J12" s="4">
        <v>0</v>
      </c>
      <c r="K12" s="0" t="inlineStr">
        <is>
          <t xml:space="preserve">weekly</t>
        </is>
      </c>
      <c r="L12" s="0" t="inlineStr">
        <is>
          <t xml:space="preserve">paid</t>
        </is>
      </c>
      <c r="M12" s="15" t="inlineStr">
        <is>
          <t xml:space="preserve">Marked PAID but ledger shows only R0,00 repaid of R3 000,00 — please check</t>
        </is>
      </c>
    </row>
    <row r="13">
      <c r="A13" s="0" t="inlineStr">
        <is>
          <t xml:space="preserve">#1</t>
        </is>
      </c>
      <c r="B13" s="0" t="inlineStr">
        <is>
          <t xml:space="preserve">Erick Mpho Molefe</t>
        </is>
      </c>
      <c r="C13" s="0" t="inlineStr">
        <is>
          <t xml:space="preserve">2026-08-08</t>
        </is>
      </c>
      <c r="D13" s="0" t="inlineStr">
        <is>
          <t xml:space="preserve">2026-08-08</t>
        </is>
      </c>
      <c r="E13" s="0" t="inlineStr">
        <is>
          <t xml:space="preserve">Fix car Whatsapp -- send so we need to go check first because we still</t>
        </is>
      </c>
      <c r="F13" s="4">
        <v>2000</v>
      </c>
      <c r="G13" s="4">
        <v>500</v>
      </c>
      <c r="H13" s="4">
        <v>2000</v>
      </c>
      <c r="I13" s="5">
        <v>0</v>
      </c>
      <c r="J13" s="4">
        <v>500</v>
      </c>
      <c r="K13" s="0" t="inlineStr">
        <is>
          <t xml:space="preserve">weekly</t>
        </is>
      </c>
      <c r="L13" s="0" t="inlineStr">
        <is>
          <t xml:space="preserve">paid</t>
        </is>
      </c>
    </row>
    <row r="14">
      <c r="A14" s="0" t="inlineStr">
        <is>
          <t xml:space="preserve">#7</t>
        </is>
      </c>
      <c r="B14" s="0" t="inlineStr">
        <is>
          <t xml:space="preserve">Erick Mpho Molefe</t>
        </is>
      </c>
      <c r="C14" s="0" t="inlineStr">
        <is>
          <t xml:space="preserve">2026-09-22</t>
        </is>
      </c>
      <c r="D14" s="0" t="inlineStr">
        <is>
          <t xml:space="preserve">2026-09-26</t>
        </is>
      </c>
      <c r="E14" s="0" t="inlineStr">
        <is>
          <t xml:space="preserve">22 Sep 2026 WhatsApp 07:15: "Goodmorning Mama, can I please have R600 </t>
        </is>
      </c>
      <c r="F14" s="4">
        <v>500</v>
      </c>
      <c r="G14" s="4">
        <v>500</v>
      </c>
      <c r="H14" s="4">
        <v>500</v>
      </c>
      <c r="I14" s="5">
        <v>0</v>
      </c>
      <c r="J14" s="4">
        <v>500</v>
      </c>
      <c r="K14" s="0" t="inlineStr">
        <is>
          <t xml:space="preserve">weekly</t>
        </is>
      </c>
      <c r="L14" s="0" t="inlineStr">
        <is>
          <t xml:space="preserve">paid</t>
        </is>
      </c>
    </row>
    <row r="15">
      <c r="A15" s="0" t="inlineStr">
        <is>
          <t xml:space="preserve">#2</t>
        </is>
      </c>
      <c r="B15" s="0" t="inlineStr">
        <is>
          <t xml:space="preserve">Isaac Mbele</t>
        </is>
      </c>
      <c r="C15" s="0" t="inlineStr">
        <is>
          <t xml:space="preserve">2026-08-11</t>
        </is>
      </c>
      <c r="D15" s="0" t="inlineStr">
        <is>
          <t xml:space="preserve">2026-08-11</t>
        </is>
      </c>
      <c r="E15" s="0" t="inlineStr">
        <is>
          <t xml:space="preserve">3 August Morning mother this week I spent joo aim loan 300 hundred ple</t>
        </is>
      </c>
      <c r="F15" s="4">
        <v>900</v>
      </c>
      <c r="G15" s="4">
        <v>250</v>
      </c>
      <c r="H15" s="4">
        <v>800</v>
      </c>
      <c r="I15" s="5">
        <v>100</v>
      </c>
      <c r="J15" s="4">
        <v>250</v>
      </c>
      <c r="K15" s="0" t="inlineStr">
        <is>
          <t xml:space="preserve">weekly</t>
        </is>
      </c>
      <c r="L15" s="0" t="inlineStr">
        <is>
          <t xml:space="preserve">active</t>
        </is>
      </c>
    </row>
    <row r="16">
      <c r="A16" s="0" t="inlineStr">
        <is>
          <t xml:space="preserve">#3</t>
        </is>
      </c>
      <c r="B16" s="0" t="inlineStr">
        <is>
          <t xml:space="preserve">Isaac Mbele</t>
        </is>
      </c>
      <c r="C16" s="0" t="inlineStr">
        <is>
          <t xml:space="preserve">2026-08-16</t>
        </is>
      </c>
      <c r="D16" s="0" t="inlineStr">
        <is>
          <t xml:space="preserve">2026-08-17</t>
        </is>
      </c>
      <c r="E16" s="0" t="inlineStr">
        <is>
          <t xml:space="preserve">Morning mother joo aim asking 600 hundred loan please</t>
        </is>
      </c>
      <c r="F16" s="4">
        <v>600</v>
      </c>
      <c r="G16" s="4">
        <v>250</v>
      </c>
      <c r="H16" s="4">
        <v>600</v>
      </c>
      <c r="I16" s="5">
        <v>0</v>
      </c>
      <c r="J16" s="4">
        <v>150</v>
      </c>
      <c r="K16" s="0" t="inlineStr">
        <is>
          <t xml:space="preserve">weekly</t>
        </is>
      </c>
      <c r="L16" s="0" t="inlineStr">
        <is>
          <t xml:space="preserve">paid</t>
        </is>
      </c>
    </row>
    <row r="17">
      <c r="A17" s="0" t="inlineStr">
        <is>
          <t xml:space="preserve">#6</t>
        </is>
      </c>
      <c r="B17" s="0" t="inlineStr">
        <is>
          <t xml:space="preserve">Isaac Mbele</t>
        </is>
      </c>
      <c r="C17" s="0" t="inlineStr">
        <is>
          <t xml:space="preserve">2026-09-01</t>
        </is>
      </c>
      <c r="D17" s="0" t="inlineStr">
        <is>
          <t xml:space="preserve">2026-09-02</t>
        </is>
      </c>
      <c r="E17" s="0" t="inlineStr">
        <is>
          <t xml:space="preserve">Morning mother my kids are having a trip off 1500 but aim short of 600</t>
        </is>
      </c>
      <c r="F17" s="4">
        <v>600</v>
      </c>
      <c r="G17" s="4">
        <v>600</v>
      </c>
      <c r="H17" s="4">
        <v>600</v>
      </c>
      <c r="I17" s="5">
        <v>0</v>
      </c>
      <c r="J17" s="4">
        <v>600</v>
      </c>
      <c r="K17" s="0" t="inlineStr">
        <is>
          <t xml:space="preserve">weekly</t>
        </is>
      </c>
      <c r="L17" s="0" t="inlineStr">
        <is>
          <t xml:space="preserve">paid</t>
        </is>
      </c>
    </row>
    <row r="18">
      <c r="A18" s="0" t="inlineStr">
        <is>
          <t xml:space="preserve">#8</t>
        </is>
      </c>
      <c r="B18" s="0" t="inlineStr">
        <is>
          <t xml:space="preserve">Isaac Mbele</t>
        </is>
      </c>
      <c r="C18" s="0" t="inlineStr">
        <is>
          <t xml:space="preserve">2026-09-22</t>
        </is>
      </c>
      <c r="D18" s="0" t="inlineStr">
        <is>
          <t xml:space="preserve">2026-09-26</t>
        </is>
      </c>
      <c r="E18" s="0" t="inlineStr">
        <is>
          <t xml:space="preserve">22 Sep 2026 WhatsApp 08:15: "Mother so like. Aim not well balanced abo</t>
        </is>
      </c>
      <c r="F18" s="4">
        <v>500</v>
      </c>
      <c r="G18" s="4">
        <v>250</v>
      </c>
      <c r="H18" s="4">
        <v>250</v>
      </c>
      <c r="I18" s="5">
        <v>250</v>
      </c>
      <c r="J18" s="4">
        <v>250</v>
      </c>
      <c r="K18" s="0" t="inlineStr">
        <is>
          <t xml:space="preserve">weekly</t>
        </is>
      </c>
      <c r="L18" s="0" t="inlineStr">
        <is>
          <t xml:space="preserve">active</t>
        </is>
      </c>
    </row>
    <row r="20">
      <c r="A20" s="1" t="inlineStr">
        <is>
          <t xml:space="preserve">LOAN REPAYMENT HISTORY (all payrolls)</t>
        </is>
      </c>
    </row>
    <row r="21">
      <c r="A21" s="2" t="inlineStr">
        <is>
          <t xml:space="preserve">Loan #</t>
        </is>
      </c>
      <c r="B21" s="2" t="inlineStr">
        <is>
          <t xml:space="preserve">Employee</t>
        </is>
      </c>
      <c r="C21" s="2" t="inlineStr">
        <is>
          <t xml:space="preserve">Payroll week</t>
        </is>
      </c>
      <c r="D21" s="2" t="inlineStr">
        <is>
          <t xml:space="preserve">Recorded at</t>
        </is>
      </c>
      <c r="E21" s="2" t="inlineStr">
        <is>
          <t xml:space="preserve">Result</t>
        </is>
      </c>
      <c r="F21" s="2" t="inlineStr">
        <is>
          <t xml:space="preserve">Scheduled</t>
        </is>
      </c>
      <c r="G21" s="2" t="inlineStr">
        <is>
          <t xml:space="preserve">Deducted</t>
        </is>
      </c>
      <c r="H21" s="2" t="inlineStr">
        <is>
          <t xml:space="preserve">Balance before</t>
        </is>
      </c>
      <c r="I21" s="2" t="inlineStr">
        <is>
          <t xml:space="preserve">Balance after</t>
        </is>
      </c>
    </row>
    <row r="22">
      <c r="A22" s="0" t="inlineStr">
        <is>
          <t xml:space="preserve">#1</t>
        </is>
      </c>
      <c r="B22" s="0" t="inlineStr">
        <is>
          <t xml:space="preserve">Erick Mpho Molefe</t>
        </is>
      </c>
      <c r="C22" s="0" t="inlineStr">
        <is>
          <t xml:space="preserve">2026-08-08 → 2026-08-14</t>
        </is>
      </c>
      <c r="D22" s="0" t="inlineStr">
        <is>
          <t xml:space="preserve">2026-08-11 10:12</t>
        </is>
      </c>
      <c r="E22" s="0" t="inlineStr">
        <is>
          <t xml:space="preserve">deducted</t>
        </is>
      </c>
      <c r="F22" s="4">
        <v>500</v>
      </c>
      <c r="G22" s="4">
        <v>500</v>
      </c>
      <c r="H22" s="4">
        <v>2000</v>
      </c>
      <c r="I22" s="4">
        <v>1500</v>
      </c>
    </row>
    <row r="23">
      <c r="A23" s="0" t="inlineStr">
        <is>
          <t xml:space="preserve">#1</t>
        </is>
      </c>
      <c r="B23" s="0" t="inlineStr">
        <is>
          <t xml:space="preserve">Erick Mpho Molefe</t>
        </is>
      </c>
      <c r="C23" s="0" t="inlineStr">
        <is>
          <t xml:space="preserve">2026-08-15 → 2026-08-21</t>
        </is>
      </c>
      <c r="D23" s="0" t="inlineStr">
        <is>
          <t xml:space="preserve">2026-08-16 13:37</t>
        </is>
      </c>
      <c r="E23" s="0" t="inlineStr">
        <is>
          <t xml:space="preserve">deducted</t>
        </is>
      </c>
      <c r="F23" s="4">
        <v>500</v>
      </c>
      <c r="G23" s="4">
        <v>500</v>
      </c>
      <c r="H23" s="4">
        <v>1500</v>
      </c>
      <c r="I23" s="4">
        <v>1000</v>
      </c>
    </row>
    <row r="24">
      <c r="A24" s="0" t="inlineStr">
        <is>
          <t xml:space="preserve">#1</t>
        </is>
      </c>
      <c r="B24" s="0" t="inlineStr">
        <is>
          <t xml:space="preserve">Erick Mpho Molefe</t>
        </is>
      </c>
      <c r="C24" s="0" t="inlineStr">
        <is>
          <t xml:space="preserve">2026-09-05 → 2026-09-11</t>
        </is>
      </c>
      <c r="D24" s="0" t="inlineStr">
        <is>
          <t xml:space="preserve">2026-09-07 12:01</t>
        </is>
      </c>
      <c r="E24" s="0" t="inlineStr">
        <is>
          <t xml:space="preserve">deducted</t>
        </is>
      </c>
      <c r="F24" s="4">
        <v>500</v>
      </c>
      <c r="G24" s="4">
        <v>500</v>
      </c>
      <c r="H24" s="4">
        <v>1000</v>
      </c>
      <c r="I24" s="4">
        <v>500</v>
      </c>
    </row>
    <row r="25">
      <c r="A25" s="0" t="inlineStr">
        <is>
          <t xml:space="preserve">#1</t>
        </is>
      </c>
      <c r="B25" s="0" t="inlineStr">
        <is>
          <t xml:space="preserve">Erick Mpho Molefe</t>
        </is>
      </c>
      <c r="C25" s="0" t="inlineStr">
        <is>
          <t xml:space="preserve">2026-09-26 → 2026-10-02</t>
        </is>
      </c>
      <c r="D25" s="0" t="inlineStr">
        <is>
          <t xml:space="preserve">2026-09-30 09:29</t>
        </is>
      </c>
      <c r="E25" s="0" t="inlineStr">
        <is>
          <t xml:space="preserve">deducted</t>
        </is>
      </c>
      <c r="F25" s="4">
        <v>500</v>
      </c>
      <c r="G25" s="4">
        <v>500</v>
      </c>
      <c r="H25" s="4">
        <v>500</v>
      </c>
      <c r="I25" s="4">
        <v>0</v>
      </c>
    </row>
    <row r="26">
      <c r="A26" s="0" t="inlineStr">
        <is>
          <t xml:space="preserve">#2</t>
        </is>
      </c>
      <c r="B26" s="0" t="inlineStr">
        <is>
          <t xml:space="preserve">Isaac Mbele</t>
        </is>
      </c>
      <c r="C26" s="0" t="inlineStr">
        <is>
          <t xml:space="preserve">2026-08-08 → 2026-08-14</t>
        </is>
      </c>
      <c r="D26" s="0" t="inlineStr">
        <is>
          <t xml:space="preserve">2026-08-11 09:42</t>
        </is>
      </c>
      <c r="E26" s="0" t="inlineStr">
        <is>
          <t xml:space="preserve">deferred</t>
        </is>
      </c>
      <c r="F26" s="4">
        <v>300</v>
      </c>
      <c r="G26" s="4">
        <v>0</v>
      </c>
      <c r="H26" s="4">
        <v>900</v>
      </c>
      <c r="I26" s="4">
        <v>900</v>
      </c>
    </row>
    <row r="27">
      <c r="A27" s="0" t="inlineStr">
        <is>
          <t xml:space="preserve">#2</t>
        </is>
      </c>
      <c r="B27" s="0" t="inlineStr">
        <is>
          <t xml:space="preserve">Isaac Mbele</t>
        </is>
      </c>
      <c r="C27" s="0" t="inlineStr">
        <is>
          <t xml:space="preserve">2026-08-15 → 2026-08-21</t>
        </is>
      </c>
      <c r="D27" s="0" t="inlineStr">
        <is>
          <t xml:space="preserve">2026-08-16 13:37</t>
        </is>
      </c>
      <c r="E27" s="0" t="inlineStr">
        <is>
          <t xml:space="preserve">deducted</t>
        </is>
      </c>
      <c r="F27" s="4">
        <v>300</v>
      </c>
      <c r="G27" s="4">
        <v>300</v>
      </c>
      <c r="H27" s="4">
        <v>900</v>
      </c>
      <c r="I27" s="4">
        <v>600</v>
      </c>
    </row>
    <row r="28">
      <c r="A28" s="0" t="inlineStr">
        <is>
          <t xml:space="preserve">#2</t>
        </is>
      </c>
      <c r="B28" s="0" t="inlineStr">
        <is>
          <t xml:space="preserve">Isaac Mbele</t>
        </is>
      </c>
      <c r="C28" s="0" t="inlineStr">
        <is>
          <t xml:space="preserve">2026-09-05 → 2026-09-11</t>
        </is>
      </c>
      <c r="D28" s="0" t="inlineStr">
        <is>
          <t xml:space="preserve">2026-09-07 12:01</t>
        </is>
      </c>
      <c r="E28" s="0" t="inlineStr">
        <is>
          <t xml:space="preserve">deducted</t>
        </is>
      </c>
      <c r="F28" s="4">
        <v>250</v>
      </c>
      <c r="G28" s="4">
        <v>250</v>
      </c>
      <c r="H28" s="4">
        <v>600</v>
      </c>
      <c r="I28" s="4">
        <v>350</v>
      </c>
    </row>
    <row r="29">
      <c r="A29" s="0" t="inlineStr">
        <is>
          <t xml:space="preserve">#2</t>
        </is>
      </c>
      <c r="B29" s="0" t="inlineStr">
        <is>
          <t xml:space="preserve">Isaac Mbele</t>
        </is>
      </c>
      <c r="C29" s="0" t="inlineStr">
        <is>
          <t xml:space="preserve">2026-09-26 → 2026-10-02</t>
        </is>
      </c>
      <c r="D29" s="0" t="inlineStr">
        <is>
          <t xml:space="preserve">2026-09-30 09:29</t>
        </is>
      </c>
      <c r="E29" s="0" t="inlineStr">
        <is>
          <t xml:space="preserve">deducted</t>
        </is>
      </c>
      <c r="F29" s="4">
        <v>250</v>
      </c>
      <c r="G29" s="4">
        <v>250</v>
      </c>
      <c r="H29" s="4">
        <v>350</v>
      </c>
      <c r="I29" s="4">
        <v>100</v>
      </c>
    </row>
    <row r="30">
      <c r="A30" s="0" t="inlineStr">
        <is>
          <t xml:space="preserve">#3</t>
        </is>
      </c>
      <c r="B30" s="0" t="inlineStr">
        <is>
          <t xml:space="preserve">Isaac Mbele</t>
        </is>
      </c>
      <c r="C30" s="0" t="inlineStr">
        <is>
          <t xml:space="preserve">2026-08-15 → 2026-08-21</t>
        </is>
      </c>
      <c r="D30" s="0" t="inlineStr">
        <is>
          <t xml:space="preserve">2026-08-16 13:37</t>
        </is>
      </c>
      <c r="E30" s="0" t="inlineStr">
        <is>
          <t xml:space="preserve">deducted</t>
        </is>
      </c>
      <c r="F30" s="4">
        <v>200</v>
      </c>
      <c r="G30" s="4">
        <v>200</v>
      </c>
      <c r="H30" s="4">
        <v>600</v>
      </c>
      <c r="I30" s="4">
        <v>400</v>
      </c>
    </row>
    <row r="31">
      <c r="A31" s="0" t="inlineStr">
        <is>
          <t xml:space="preserve">#3</t>
        </is>
      </c>
      <c r="B31" s="0" t="inlineStr">
        <is>
          <t xml:space="preserve">Isaac Mbele</t>
        </is>
      </c>
      <c r="C31" s="0" t="inlineStr">
        <is>
          <t xml:space="preserve">2026-09-05 → 2026-09-11</t>
        </is>
      </c>
      <c r="D31" s="0" t="inlineStr">
        <is>
          <t xml:space="preserve">2026-09-07 12:01</t>
        </is>
      </c>
      <c r="E31" s="0" t="inlineStr">
        <is>
          <t xml:space="preserve">deducted</t>
        </is>
      </c>
      <c r="F31" s="4">
        <v>250</v>
      </c>
      <c r="G31" s="4">
        <v>250</v>
      </c>
      <c r="H31" s="4">
        <v>400</v>
      </c>
      <c r="I31" s="4">
        <v>150</v>
      </c>
    </row>
    <row r="32">
      <c r="A32" s="0" t="inlineStr">
        <is>
          <t xml:space="preserve">#3</t>
        </is>
      </c>
      <c r="B32" s="0" t="inlineStr">
        <is>
          <t xml:space="preserve">Isaac Mbele</t>
        </is>
      </c>
      <c r="C32" s="0" t="inlineStr">
        <is>
          <t xml:space="preserve">2026-09-26 → 2026-10-02</t>
        </is>
      </c>
      <c r="D32" s="0" t="inlineStr">
        <is>
          <t xml:space="preserve">2026-09-30 09:29</t>
        </is>
      </c>
      <c r="E32" s="0" t="inlineStr">
        <is>
          <t xml:space="preserve">deducted</t>
        </is>
      </c>
      <c r="F32" s="4">
        <v>250</v>
      </c>
      <c r="G32" s="4">
        <v>150</v>
      </c>
      <c r="H32" s="4">
        <v>150</v>
      </c>
      <c r="I32" s="4">
        <v>0</v>
      </c>
    </row>
    <row r="33">
      <c r="A33" s="0" t="inlineStr">
        <is>
          <t xml:space="preserve">#5</t>
        </is>
      </c>
      <c r="B33" s="0" t="inlineStr">
        <is>
          <t xml:space="preserve">Daniel Motaung</t>
        </is>
      </c>
      <c r="C33" s="0" t="inlineStr">
        <is>
          <t xml:space="preserve">2026-09-05 → 2026-09-11</t>
        </is>
      </c>
      <c r="D33" s="0" t="inlineStr">
        <is>
          <t xml:space="preserve">2026-09-07 12:01</t>
        </is>
      </c>
      <c r="E33" s="0" t="inlineStr">
        <is>
          <t xml:space="preserve">deferred</t>
        </is>
      </c>
      <c r="F33" s="4">
        <v>500</v>
      </c>
      <c r="G33" s="4">
        <v>0</v>
      </c>
      <c r="H33" s="4">
        <v>3000</v>
      </c>
      <c r="I33" s="4">
        <v>3000</v>
      </c>
    </row>
    <row r="34">
      <c r="A34" s="0" t="inlineStr">
        <is>
          <t xml:space="preserve">#6</t>
        </is>
      </c>
      <c r="B34" s="0" t="inlineStr">
        <is>
          <t xml:space="preserve">Isaac Mbele</t>
        </is>
      </c>
      <c r="C34" s="0" t="inlineStr">
        <is>
          <t xml:space="preserve">2026-09-05 → 2026-09-11</t>
        </is>
      </c>
      <c r="D34" s="0" t="inlineStr">
        <is>
          <t xml:space="preserve">2026-09-07 12:01</t>
        </is>
      </c>
      <c r="E34" s="0" t="inlineStr">
        <is>
          <t xml:space="preserve">deferred</t>
        </is>
      </c>
      <c r="F34" s="4">
        <v>600</v>
      </c>
      <c r="G34" s="4">
        <v>0</v>
      </c>
      <c r="H34" s="4">
        <v>600</v>
      </c>
      <c r="I34" s="4">
        <v>600</v>
      </c>
    </row>
    <row r="35">
      <c r="A35" s="0" t="inlineStr">
        <is>
          <t xml:space="preserve">#6</t>
        </is>
      </c>
      <c r="B35" s="0" t="inlineStr">
        <is>
          <t xml:space="preserve">Isaac Mbele</t>
        </is>
      </c>
      <c r="C35" s="0" t="inlineStr">
        <is>
          <t xml:space="preserve">2026-09-26 → 2026-10-02</t>
        </is>
      </c>
      <c r="D35" s="0" t="inlineStr">
        <is>
          <t xml:space="preserve">2026-09-30 09:29</t>
        </is>
      </c>
      <c r="E35" s="0" t="inlineStr">
        <is>
          <t xml:space="preserve">deducted</t>
        </is>
      </c>
      <c r="F35" s="4">
        <v>600</v>
      </c>
      <c r="G35" s="4">
        <v>600</v>
      </c>
      <c r="H35" s="4">
        <v>600</v>
      </c>
      <c r="I35" s="4">
        <v>0</v>
      </c>
    </row>
    <row r="36">
      <c r="A36" s="0" t="inlineStr">
        <is>
          <t xml:space="preserve">#7</t>
        </is>
      </c>
      <c r="B36" s="0" t="inlineStr">
        <is>
          <t xml:space="preserve">Erick Mpho Molefe</t>
        </is>
      </c>
      <c r="C36" s="0" t="inlineStr">
        <is>
          <t xml:space="preserve">2026-09-26 → 2026-10-02</t>
        </is>
      </c>
      <c r="D36" s="0" t="inlineStr">
        <is>
          <t xml:space="preserve">2026-09-30 09:29</t>
        </is>
      </c>
      <c r="E36" s="0" t="inlineStr">
        <is>
          <t xml:space="preserve">deducted</t>
        </is>
      </c>
      <c r="F36" s="4">
        <v>500</v>
      </c>
      <c r="G36" s="4">
        <v>500</v>
      </c>
      <c r="H36" s="4">
        <v>500</v>
      </c>
      <c r="I36" s="4">
        <v>0</v>
      </c>
    </row>
    <row r="37">
      <c r="A37" s="0" t="inlineStr">
        <is>
          <t xml:space="preserve">#8</t>
        </is>
      </c>
      <c r="B37" s="0" t="inlineStr">
        <is>
          <t xml:space="preserve">Isaac Mbele</t>
        </is>
      </c>
      <c r="C37" s="0" t="inlineStr">
        <is>
          <t xml:space="preserve">2026-09-26 → 2026-10-02</t>
        </is>
      </c>
      <c r="D37" s="0" t="inlineStr">
        <is>
          <t xml:space="preserve">2026-09-30 09:29</t>
        </is>
      </c>
      <c r="E37" s="0" t="inlineStr">
        <is>
          <t xml:space="preserve">deducted</t>
        </is>
      </c>
      <c r="F37" s="4">
        <v>250</v>
      </c>
      <c r="G37" s="4">
        <v>250</v>
      </c>
      <c r="H37" s="4">
        <v>500</v>
      </c>
      <c r="I37" s="4">
        <v>250</v>
      </c>
    </row>
  </sheetData>
  <mergeCells count="2">
    <mergeCell ref="A1:M1"/>
    <mergeCell ref="A2:M2"/>
  </mergeCell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28" customWidth="1"/>
    <col min="2" max="2" width="30" customWidth="1"/>
    <col min="3" max="3" width="12" customWidth="1"/>
    <col min="4" max="4" width="12" customWidth="1"/>
    <col min="5" max="5" width="120" customWidth="1"/>
  </cols>
  <sheetData>
    <row r="1" ht="22" customHeight="1">
      <c r="A1" s="3" t="inlineStr">
        <is>
          <t xml:space="preserve">B&amp;W PRODUCTIONS — CATCH-UPS (worked in the previous payroll, entered late, paid in this payroll)</t>
        </is>
      </c>
    </row>
    <row r="2" ht="30" customHeight="1">
      <c r="A2" s="11" t="inlineStr">
        <is>
          <t xml:space="preserve">Payroll week 2026-09-26 to 2026-10-02. Approved hours = the green review decision (claimed hours where no review was needed). YELLOW hours cells can be overtyped — the Amount next to them recalculates automatically and flows to block 6 on the Auditor Trail and to the Summary.</t>
        </is>
      </c>
    </row>
    <row r="4" ht="30" customHeight="1">
      <c r="A4" s="2" t="inlineStr">
        <is>
          <t xml:space="preserve">Worker</t>
        </is>
      </c>
      <c r="B4" s="2" t="inlineStr">
        <is>
          <t xml:space="preserve">Catch-up (real date worked)</t>
        </is>
      </c>
      <c r="C4" s="2" t="inlineStr">
        <is>
          <t xml:space="preserve">Approved hours</t>
        </is>
      </c>
      <c r="D4" s="2" t="inlineStr">
        <is>
          <t xml:space="preserve">Amount</t>
        </is>
      </c>
      <c r="E4" s="2" t="inlineStr">
        <is>
          <t xml:space="preserve">Notes</t>
        </is>
      </c>
    </row>
    <row r="5" ht="28" customHeight="1">
      <c r="A5" s="17" t="inlineStr">
        <is>
          <t xml:space="preserve">Erence Mngomezulu</t>
        </is>
      </c>
      <c r="B5" s="17" t="inlineStr">
        <is>
          <t xml:space="preserve">Fri 25 Sep 2026  05:00–07:00</t>
        </is>
      </c>
      <c r="C5" s="16">
        <f>'Wage Detail Linked'!O18</f>
      </c>
      <c r="D5" s="19">
        <f>IF('Wage Detail Linked'!O18=0,IF(C5&gt;0,ROUND(C5*95,2),0),ROUND('Wage Detail Linked'!R18*C5/'Wage Detail Linked'!O18,2))</f>
      </c>
      <c r="E5" s="8" t="inlineStr">
        <is>
          <t xml:space="preserve">Worked Fri 25 Sep 2026 (previous payroll), not captured that week; final-submitted and paid in payroll 2026-09-26 to 2026-10-02.
CLEAR worked 07:00–16:00 that day (paid); these hours are outside those times</t>
        </is>
      </c>
    </row>
    <row r="6" ht="28" customHeight="1">
      <c r="A6" s="17" t="inlineStr">
        <is>
          <t xml:space="preserve">Erence Mngomezulu</t>
        </is>
      </c>
      <c r="B6" s="17" t="inlineStr">
        <is>
          <t xml:space="preserve">Fri 25 Sep 2026  16:00–19:00</t>
        </is>
      </c>
      <c r="C6" s="16">
        <f>'Wage Detail Linked'!O19</f>
      </c>
      <c r="D6" s="19">
        <f>IF('Wage Detail Linked'!O19=0,IF(C6&gt;0,ROUND(C6*95,2),0),ROUND('Wage Detail Linked'!R19*C6/'Wage Detail Linked'!O19,2))</f>
      </c>
      <c r="E6" s="8" t="inlineStr">
        <is>
          <t xml:space="preserve">Worked Fri 25 Sep 2026 (previous payroll), not captured that week; final-submitted and paid in payroll 2026-09-26 to 2026-10-02.
CLEAR worked 07:00–16:00 that day (paid); these hours are outside those times</t>
        </is>
      </c>
    </row>
    <row r="7">
      <c r="A7" s="1" t="inlineStr">
        <is>
          <t xml:space="preserve">Erence Mngomezulu — missed total</t>
        </is>
      </c>
      <c r="C7" s="12">
        <f>SUM(C5:C6)</f>
      </c>
      <c r="D7" s="13">
        <f>SUM(D5:D6)</f>
      </c>
    </row>
    <row r="9" ht="28" customHeight="1">
      <c r="A9" s="20" t="inlineStr">
        <is>
          <t xml:space="preserve">Patrick Ngozo</t>
        </is>
      </c>
      <c r="B9" s="20" t="inlineStr">
        <is>
          <t xml:space="preserve">Fri 25 Sep 2026  05:00–07:00</t>
        </is>
      </c>
      <c r="C9" s="16">
        <f>'Wage Detail Linked'!O67</f>
      </c>
      <c r="D9" s="22">
        <f>IF('Wage Detail Linked'!O67=0,IF(C9&gt;0,ROUND(C9*95,2),0),ROUND('Wage Detail Linked'!R67*C9/'Wage Detail Linked'!O67,2))</f>
      </c>
      <c r="E9" s="8" t="inlineStr">
        <is>
          <t xml:space="preserve">Worked Fri 25 Sep 2026 (previous payroll), not captured that week; final-submitted and paid in payroll 2026-09-26 to 2026-10-02.
OVERLAP already paid 06:30–16:00 (Pretoria Country Club, payroll n/a)</t>
        </is>
      </c>
    </row>
    <row r="10" ht="28" customHeight="1">
      <c r="A10" s="20" t="inlineStr">
        <is>
          <t xml:space="preserve">Patrick Ngozo</t>
        </is>
      </c>
      <c r="B10" s="20" t="inlineStr">
        <is>
          <t xml:space="preserve">Fri 25 Sep 2026  16:00–19:00</t>
        </is>
      </c>
      <c r="C10" s="16">
        <f>'Wage Detail Linked'!O68</f>
      </c>
      <c r="D10" s="22">
        <f>IF('Wage Detail Linked'!O68=0,IF(C10&gt;0,ROUND(C10*95,2),0),ROUND('Wage Detail Linked'!R68*C10/'Wage Detail Linked'!O68,2))</f>
      </c>
      <c r="E10" s="8" t="inlineStr">
        <is>
          <t xml:space="preserve">Worked Fri 25 Sep 2026 (previous payroll), not captured that week; final-submitted and paid in payroll 2026-09-26 to 2026-10-02.
CLEAR worked 06:30–16:00 that day (paid); these hours are outside those times</t>
        </is>
      </c>
    </row>
    <row r="11">
      <c r="A11" s="1" t="inlineStr">
        <is>
          <t xml:space="preserve">Patrick Ngozo — missed total</t>
        </is>
      </c>
      <c r="C11" s="12">
        <f>SUM(C9:C10)</f>
      </c>
      <c r="D11" s="13">
        <f>SUM(D9:D10)</f>
      </c>
    </row>
    <row r="13" ht="28" customHeight="1">
      <c r="A13" s="23" t="inlineStr">
        <is>
          <t xml:space="preserve">Takavaudza Chokuda</t>
        </is>
      </c>
      <c r="B13" s="23" t="inlineStr">
        <is>
          <t xml:space="preserve">Thu 17 Sep 2026  18:00–21:00</t>
        </is>
      </c>
      <c r="C13" s="16">
        <f>'Wage Detail Linked'!O82</f>
      </c>
      <c r="D13" s="25">
        <f>IF('Wage Detail Linked'!O82=0,IF(C13&gt;0,ROUND(C13*95,2),0),ROUND('Wage Detail Linked'!R82*C13/'Wage Detail Linked'!O82,2))</f>
      </c>
      <c r="E13" s="8" t="inlineStr">
        <is>
          <t xml:space="preserve">Worked Thu 17 Sep 2026 (previous payroll), not captured that week; final-submitted and paid in payroll 2026-09-26 to 2026-10-02.
CLEAR worked 07:00–16:00, 16:00–18:00 that day (paid); these hours are outside those times</t>
        </is>
      </c>
    </row>
    <row r="14">
      <c r="A14" s="1" t="inlineStr">
        <is>
          <t xml:space="preserve">Takavaudza Chokuda — missed total</t>
        </is>
      </c>
      <c r="C14" s="12">
        <f>SUM(C13:C13)</f>
      </c>
      <c r="D14" s="13">
        <f>SUM(D13:D13)</f>
      </c>
    </row>
    <row r="16" ht="28" customHeight="1">
      <c r="A16" s="26" t="inlineStr">
        <is>
          <t xml:space="preserve">Thina Dyani</t>
        </is>
      </c>
      <c r="B16" s="26" t="inlineStr">
        <is>
          <t xml:space="preserve">Thu 24 Sep 2026  00:00–00:00</t>
        </is>
      </c>
      <c r="C16" s="16">
        <f>'Wage Detail Linked'!O98</f>
      </c>
      <c r="D16" s="28">
        <f>IF('Wage Detail Linked'!O98=0,IF(C16&gt;0,ROUND(C16*90,2),0),ROUND('Wage Detail Linked'!R98*C16/'Wage Detail Linked'!O98,2))</f>
      </c>
      <c r="E16" s="8" t="inlineStr">
        <is>
          <t xml:space="preserve">Worked Thu 24 Sep 2026 (previous payroll), not captured that week; final-submitted and paid in payroll 2026-09-26 to 2026-10-02.
CLEAR nothing else paid for this day</t>
        </is>
      </c>
    </row>
    <row r="17">
      <c r="A17" s="1" t="inlineStr">
        <is>
          <t xml:space="preserve">Thina Dyani — missed total</t>
        </is>
      </c>
      <c r="C17" s="12">
        <f>SUM(C16:C16)</f>
      </c>
      <c r="D17" s="13">
        <f>SUM(D16:D16)</f>
      </c>
    </row>
    <row r="19">
      <c r="A19" s="1" t="inlineStr">
        <is>
          <t xml:space="preserve">GRAND TOTAL CATCH-UPS</t>
        </is>
      </c>
      <c r="C19" s="12">
        <f>C14+C17+C7+C11</f>
      </c>
      <c r="D19" s="13">
        <f>D14+D17+D7+D11</f>
      </c>
    </row>
  </sheetData>
  <mergeCells count="2">
    <mergeCell ref="A1:E1"/>
    <mergeCell ref="A2:E2"/>
  </mergeCells>
</worksheet>
</file>